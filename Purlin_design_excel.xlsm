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https://d.docs.live.net/84ec61cd8f4b1895/Desktop/Projects/"/>
    </mc:Choice>
  </mc:AlternateContent>
  <xr:revisionPtr revIDLastSave="5" documentId="13_ncr:1_{CA24D403-4921-4732-A37E-5C1F1604D327}" xr6:coauthVersionLast="47" xr6:coauthVersionMax="47" xr10:uidLastSave="{962CF74B-D8DA-43A3-B98B-9A342F5B38CA}"/>
  <bookViews>
    <workbookView xWindow="-108" yWindow="-108" windowWidth="23256" windowHeight="12456" xr2:uid="{00000000-000D-0000-FFFF-FFFF00000000}"/>
  </bookViews>
  <sheets>
    <sheet name="Introduction" sheetId="5" r:id="rId1"/>
    <sheet name="Howe truss" sheetId="1" r:id="rId2"/>
    <sheet name="Angle section" sheetId="2" r:id="rId3"/>
    <sheet name="I-section" sheetId="3" r:id="rId4"/>
    <sheet name="Channel section" sheetId="4" r:id="rId5"/>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31" i="4" l="1"/>
  <c r="C30" i="4"/>
  <c r="C61" i="4"/>
  <c r="C34" i="4"/>
  <c r="C33" i="4"/>
  <c r="C23" i="4"/>
  <c r="C25" i="4" s="1"/>
  <c r="C70" i="4"/>
  <c r="C71" i="4" s="1"/>
  <c r="C68" i="4"/>
  <c r="C69" i="4" s="1"/>
  <c r="C58" i="4"/>
  <c r="C83" i="4" s="1"/>
  <c r="C75" i="4" l="1"/>
  <c r="C74" i="4"/>
  <c r="N104" i="4"/>
  <c r="N103" i="4"/>
  <c r="C93" i="4"/>
  <c r="C85" i="4"/>
  <c r="C84" i="4"/>
  <c r="C80" i="4"/>
  <c r="C79" i="4"/>
  <c r="C63" i="4"/>
  <c r="C60" i="4"/>
  <c r="C62" i="4" s="1"/>
  <c r="C20" i="4"/>
  <c r="C19" i="4"/>
  <c r="C18" i="4"/>
  <c r="C64" i="4" l="1"/>
  <c r="C21" i="4"/>
  <c r="C81" i="4"/>
  <c r="P101" i="4" s="1"/>
  <c r="N88" i="3"/>
  <c r="N87" i="3"/>
  <c r="C77" i="3"/>
  <c r="C69" i="3"/>
  <c r="C67" i="3"/>
  <c r="C68" i="3" s="1"/>
  <c r="C64" i="3"/>
  <c r="C63" i="3"/>
  <c r="C56" i="3"/>
  <c r="C58" i="3" s="1"/>
  <c r="C55" i="3"/>
  <c r="C57" i="3" s="1"/>
  <c r="C23" i="3"/>
  <c r="C20" i="3"/>
  <c r="C19" i="3"/>
  <c r="C18" i="3"/>
  <c r="V24" i="2"/>
  <c r="C29" i="2" s="1"/>
  <c r="V23" i="2"/>
  <c r="C28" i="2" s="1"/>
  <c r="V22" i="2"/>
  <c r="C27" i="2" s="1"/>
  <c r="V9" i="2"/>
  <c r="C19" i="2" s="1"/>
  <c r="E7" i="2"/>
  <c r="V16" i="2"/>
  <c r="V12" i="2"/>
  <c r="W11" i="2" s="1"/>
  <c r="V11" i="2"/>
  <c r="C26" i="4" l="1"/>
  <c r="N102" i="4"/>
  <c r="C94" i="4" s="1"/>
  <c r="C95" i="4" s="1"/>
  <c r="P104" i="4" s="1"/>
  <c r="C65" i="3"/>
  <c r="P85" i="3" s="1"/>
  <c r="C59" i="3"/>
  <c r="C21" i="3"/>
  <c r="C26" i="3" s="1"/>
  <c r="C31" i="3" s="1"/>
  <c r="C70" i="3" s="1"/>
  <c r="P86" i="3" s="1"/>
  <c r="C13" i="2"/>
  <c r="C12" i="2"/>
  <c r="C20" i="2"/>
  <c r="C21" i="2" s="1"/>
  <c r="C14" i="2"/>
  <c r="C15" i="2" s="1"/>
  <c r="C17" i="2"/>
  <c r="V15" i="2" s="1"/>
  <c r="C18" i="2" s="1"/>
  <c r="AE28" i="1"/>
  <c r="Q28" i="1"/>
  <c r="Q27" i="1"/>
  <c r="R25" i="1"/>
  <c r="AD28" i="1" s="1"/>
  <c r="AB21" i="1"/>
  <c r="W29" i="1"/>
  <c r="M79" i="1"/>
  <c r="N80" i="1" s="1"/>
  <c r="U20" i="1" s="1"/>
  <c r="P64" i="1"/>
  <c r="S64" i="1" s="1"/>
  <c r="U18" i="1"/>
  <c r="C86" i="4" l="1"/>
  <c r="P102" i="4" s="1"/>
  <c r="C25" i="3"/>
  <c r="C23" i="2"/>
  <c r="T64" i="1"/>
  <c r="Q64" i="1"/>
  <c r="R64" i="1" s="1"/>
  <c r="N21" i="1"/>
  <c r="N26" i="1" s="1"/>
  <c r="C35" i="1" s="1"/>
  <c r="N20" i="1"/>
  <c r="N22" i="1" s="1"/>
  <c r="C29" i="1" s="1"/>
  <c r="N19" i="1"/>
  <c r="O19" i="1" s="1"/>
  <c r="P19" i="1" s="1"/>
  <c r="N32" i="1" s="1"/>
  <c r="N33" i="1" s="1"/>
  <c r="N29" i="1" s="1"/>
  <c r="C44" i="1" s="1"/>
  <c r="N18" i="1"/>
  <c r="C25" i="1" s="1"/>
  <c r="F7" i="1"/>
  <c r="C52" i="1" s="1"/>
  <c r="C27" i="1" l="1"/>
  <c r="C28" i="1"/>
  <c r="N24" i="1"/>
  <c r="C33" i="1" s="1"/>
  <c r="N27" i="1"/>
  <c r="C36" i="1" s="1"/>
  <c r="N25" i="1"/>
  <c r="C34" i="1" s="1"/>
  <c r="C45" i="1"/>
  <c r="C47" i="1" s="1"/>
  <c r="C48" i="1" s="1"/>
  <c r="C26" i="1"/>
  <c r="AC21" i="1" s="1"/>
  <c r="AB24" i="1" s="1"/>
  <c r="C88" i="4"/>
  <c r="C89" i="4" s="1"/>
  <c r="P103" i="4" s="1"/>
  <c r="C38" i="4"/>
  <c r="C30" i="3"/>
  <c r="N86" i="3"/>
  <c r="C78" i="3" s="1"/>
  <c r="C79" i="3" s="1"/>
  <c r="P88" i="3" s="1"/>
  <c r="U64" i="1"/>
  <c r="U19" i="1" s="1"/>
  <c r="C53" i="1" s="1"/>
  <c r="C54" i="1" s="1"/>
  <c r="C37" i="1" l="1"/>
  <c r="C39" i="1" s="1"/>
  <c r="C40" i="1" s="1"/>
  <c r="AE24" i="1"/>
  <c r="AC24" i="1"/>
  <c r="AF24" i="1"/>
  <c r="AD24" i="1"/>
  <c r="C35" i="3"/>
  <c r="C72" i="3"/>
  <c r="C73" i="3" s="1"/>
  <c r="P87" i="3" s="1"/>
  <c r="AD27" i="1" l="1"/>
  <c r="AB32" i="1" s="1"/>
  <c r="AB31" i="1" l="1"/>
  <c r="C55" i="1" s="1"/>
  <c r="C57" i="1" s="1"/>
  <c r="C58" i="1" s="1"/>
</calcChain>
</file>

<file path=xl/sharedStrings.xml><?xml version="1.0" encoding="utf-8"?>
<sst xmlns="http://schemas.openxmlformats.org/spreadsheetml/2006/main" count="744" uniqueCount="450">
  <si>
    <t>Design of Industrial Building for HOWE Truss</t>
  </si>
  <si>
    <t>City</t>
  </si>
  <si>
    <t>Span of truss</t>
  </si>
  <si>
    <t>Rise of truss</t>
  </si>
  <si>
    <t>c/c spacing of truss</t>
  </si>
  <si>
    <t>Total number of panels</t>
  </si>
  <si>
    <t>Height above G.L.</t>
  </si>
  <si>
    <t>Probable life of structure</t>
  </si>
  <si>
    <t>Terrain category</t>
  </si>
  <si>
    <t>Class</t>
  </si>
  <si>
    <t>Upwind slope</t>
  </si>
  <si>
    <t>OR</t>
  </si>
  <si>
    <t>Number of purlins (including ridge and eaves)</t>
  </si>
  <si>
    <t>INPUTS</t>
  </si>
  <si>
    <t>Opening of wall area (in %)</t>
  </si>
  <si>
    <t>Agra</t>
  </si>
  <si>
    <t>Ahmedabad</t>
  </si>
  <si>
    <t>Ajmer</t>
  </si>
  <si>
    <t>Almora</t>
  </si>
  <si>
    <t>Amritsar</t>
  </si>
  <si>
    <t>Asansol</t>
  </si>
  <si>
    <t>Aurangabad</t>
  </si>
  <si>
    <t>Bahraich</t>
  </si>
  <si>
    <t>Bangalore</t>
  </si>
  <si>
    <t>Barauni</t>
  </si>
  <si>
    <t>Bareilly</t>
  </si>
  <si>
    <t>Bhatinda</t>
  </si>
  <si>
    <t>Bhilai</t>
  </si>
  <si>
    <t>Bhopal</t>
  </si>
  <si>
    <t>Bhubaneshwar</t>
  </si>
  <si>
    <t>Bhuj</t>
  </si>
  <si>
    <t>Bikaner</t>
  </si>
  <si>
    <t>Bokaro</t>
  </si>
  <si>
    <t>Bombay</t>
  </si>
  <si>
    <t>Calcutta</t>
  </si>
  <si>
    <t>Calicut</t>
  </si>
  <si>
    <t>Chandigarh</t>
  </si>
  <si>
    <t>Coimbatore</t>
  </si>
  <si>
    <t>Cuttack</t>
  </si>
  <si>
    <t>Darbhanga</t>
  </si>
  <si>
    <t>Darjeeling</t>
  </si>
  <si>
    <t>Dehra Dun</t>
  </si>
  <si>
    <t>Delhi</t>
  </si>
  <si>
    <t>Durgapur</t>
  </si>
  <si>
    <t>Gangtok</t>
  </si>
  <si>
    <t>Gauhati</t>
  </si>
  <si>
    <t>Gaya</t>
  </si>
  <si>
    <t>Gorakhpur</t>
  </si>
  <si>
    <t>Hyderabad</t>
  </si>
  <si>
    <t>Imphal</t>
  </si>
  <si>
    <t>Jabalpur</t>
  </si>
  <si>
    <t>Jaipur</t>
  </si>
  <si>
    <t>Jamshedpur</t>
  </si>
  <si>
    <t>Jhansi</t>
  </si>
  <si>
    <t>Jodhpur</t>
  </si>
  <si>
    <t>kanpur</t>
  </si>
  <si>
    <t>Kohima</t>
  </si>
  <si>
    <t>Kurnool</t>
  </si>
  <si>
    <t>Lakshadweep</t>
  </si>
  <si>
    <t>Lucknow</t>
  </si>
  <si>
    <t>Ludhiana</t>
  </si>
  <si>
    <t>Madra</t>
  </si>
  <si>
    <t>Madurai</t>
  </si>
  <si>
    <t>Moradabad</t>
  </si>
  <si>
    <t>Mysore</t>
  </si>
  <si>
    <t>Nagpur</t>
  </si>
  <si>
    <t>Nainital</t>
  </si>
  <si>
    <t>Nasik</t>
  </si>
  <si>
    <t>Nellore</t>
  </si>
  <si>
    <t>Panjim</t>
  </si>
  <si>
    <t>Patiala</t>
  </si>
  <si>
    <t>Patna</t>
  </si>
  <si>
    <t>Pondicherry</t>
  </si>
  <si>
    <t>Port Blair</t>
  </si>
  <si>
    <t>Pune</t>
  </si>
  <si>
    <t>Raipur</t>
  </si>
  <si>
    <t>Mandi</t>
  </si>
  <si>
    <t>Mangalore</t>
  </si>
  <si>
    <t>Rajkot</t>
  </si>
  <si>
    <t>Ranchi</t>
  </si>
  <si>
    <t>Roorkee</t>
  </si>
  <si>
    <t>Rourkela</t>
  </si>
  <si>
    <t>Simla</t>
  </si>
  <si>
    <t>Srinagar</t>
  </si>
  <si>
    <t>Surat</t>
  </si>
  <si>
    <t>Tiruchchirrappalli</t>
  </si>
  <si>
    <t>Trivandrum</t>
  </si>
  <si>
    <t>Udaipur</t>
  </si>
  <si>
    <t>Vadodra</t>
  </si>
  <si>
    <t>Varanasi</t>
  </si>
  <si>
    <t>Vijaywada</t>
  </si>
  <si>
    <t>Vishakhapatnam</t>
  </si>
  <si>
    <t>Basic Wind speed</t>
  </si>
  <si>
    <t>m/s</t>
  </si>
  <si>
    <t>m</t>
  </si>
  <si>
    <t>%</t>
  </si>
  <si>
    <t>years</t>
  </si>
  <si>
    <t>Load per meter square</t>
  </si>
  <si>
    <t>N/m^2</t>
  </si>
  <si>
    <t>with</t>
  </si>
  <si>
    <t>panel points</t>
  </si>
  <si>
    <t>angle</t>
  </si>
  <si>
    <t>principal rafter</t>
  </si>
  <si>
    <t>half plan area</t>
  </si>
  <si>
    <t>half slope area</t>
  </si>
  <si>
    <t>Roofing material</t>
  </si>
  <si>
    <t>Weight of purlin</t>
  </si>
  <si>
    <t>Wind Bracing</t>
  </si>
  <si>
    <t>(range: 60 - 90)</t>
  </si>
  <si>
    <t>(range: 12 - 13)</t>
  </si>
  <si>
    <t>Number of panel points</t>
  </si>
  <si>
    <t>Angle of roof truss</t>
  </si>
  <si>
    <t>Length of Principal Rafter</t>
  </si>
  <si>
    <t>Half plan area</t>
  </si>
  <si>
    <t>Half slope area</t>
  </si>
  <si>
    <t>degrees</t>
  </si>
  <si>
    <t>m^2</t>
  </si>
  <si>
    <t>m^3</t>
  </si>
  <si>
    <t>Dead load Calculations</t>
  </si>
  <si>
    <t>roofing</t>
  </si>
  <si>
    <t>purlin</t>
  </si>
  <si>
    <t>bracing</t>
  </si>
  <si>
    <t>self weight</t>
  </si>
  <si>
    <t>Asbestos cement sheet</t>
  </si>
  <si>
    <t>III</t>
  </si>
  <si>
    <t>A</t>
  </si>
  <si>
    <t>&lt;3 degrees</t>
  </si>
  <si>
    <t>Load due to purlin</t>
  </si>
  <si>
    <t>Load due to roofing material</t>
  </si>
  <si>
    <t>Self weight</t>
  </si>
  <si>
    <t>Load due to wind bracing</t>
  </si>
  <si>
    <t>Total Dead Load</t>
  </si>
  <si>
    <t>N</t>
  </si>
  <si>
    <t>D.L. on half panel points :</t>
  </si>
  <si>
    <t>D.L. on full panel points  :</t>
  </si>
  <si>
    <t>Preliminary Calculations</t>
  </si>
  <si>
    <t>Live load Calculations</t>
  </si>
  <si>
    <t>Live load on purlin</t>
  </si>
  <si>
    <t>Live load on roof truss</t>
  </si>
  <si>
    <t>min</t>
  </si>
  <si>
    <t>less than 10</t>
  </si>
  <si>
    <t>else</t>
  </si>
  <si>
    <t>LL</t>
  </si>
  <si>
    <t>RES</t>
  </si>
  <si>
    <t>L.L. on full panel points  :</t>
  </si>
  <si>
    <t>L.L. on half panel points :</t>
  </si>
  <si>
    <t>Wind load Calculations</t>
  </si>
  <si>
    <t>Basic wind speed</t>
  </si>
  <si>
    <t>Design wind speed</t>
  </si>
  <si>
    <t>Design wind pressure</t>
  </si>
  <si>
    <t>Wind load</t>
  </si>
  <si>
    <t>W.L. on full panel points  :</t>
  </si>
  <si>
    <t>W.L. on half panel points :</t>
  </si>
  <si>
    <t>k1</t>
  </si>
  <si>
    <t>I</t>
  </si>
  <si>
    <t>B</t>
  </si>
  <si>
    <t>C</t>
  </si>
  <si>
    <t>II</t>
  </si>
  <si>
    <t>IV</t>
  </si>
  <si>
    <t>height</t>
  </si>
  <si>
    <t>k2</t>
  </si>
  <si>
    <t>k3</t>
  </si>
  <si>
    <t>C18</t>
  </si>
  <si>
    <t>C19</t>
  </si>
  <si>
    <t>Vb</t>
  </si>
  <si>
    <t>xlower</t>
  </si>
  <si>
    <t>xupper</t>
  </si>
  <si>
    <t>ylower</t>
  </si>
  <si>
    <t>yupper</t>
  </si>
  <si>
    <t>EF</t>
  </si>
  <si>
    <t>GH</t>
  </si>
  <si>
    <t>EG</t>
  </si>
  <si>
    <t>FH</t>
  </si>
  <si>
    <t>h/w</t>
  </si>
  <si>
    <t>opening of wall area</t>
  </si>
  <si>
    <t>Cpe</t>
  </si>
  <si>
    <t>Cpi</t>
  </si>
  <si>
    <t>5 - 20 %</t>
  </si>
  <si>
    <t>&gt;20%</t>
  </si>
  <si>
    <t>F = (Cpe+-Cpi)*A*Pz</t>
  </si>
  <si>
    <t>Rise of roof truss</t>
  </si>
  <si>
    <t>Load type</t>
  </si>
  <si>
    <t>Design of Purlins for Howe truss using angle section</t>
  </si>
  <si>
    <t>150x115</t>
  </si>
  <si>
    <t>200x100</t>
  </si>
  <si>
    <t>200x150</t>
  </si>
  <si>
    <t>ISA</t>
  </si>
  <si>
    <t xml:space="preserve">Length </t>
  </si>
  <si>
    <t xml:space="preserve">Width </t>
  </si>
  <si>
    <t xml:space="preserve">Thickness </t>
  </si>
  <si>
    <t>Iz</t>
  </si>
  <si>
    <t>30x20</t>
  </si>
  <si>
    <t>40x25</t>
  </si>
  <si>
    <t>45x30</t>
  </si>
  <si>
    <t>50x30</t>
  </si>
  <si>
    <t>60x40</t>
  </si>
  <si>
    <t>65X45</t>
  </si>
  <si>
    <t>70x45</t>
  </si>
  <si>
    <t>75x50</t>
  </si>
  <si>
    <t>80x50</t>
  </si>
  <si>
    <t>90x60</t>
  </si>
  <si>
    <t>100x65</t>
  </si>
  <si>
    <t>100x75</t>
  </si>
  <si>
    <t>125x75</t>
  </si>
  <si>
    <t>125x95</t>
  </si>
  <si>
    <t>150x75</t>
  </si>
  <si>
    <t>Design load</t>
  </si>
  <si>
    <t>KN/m</t>
  </si>
  <si>
    <t>degree</t>
  </si>
  <si>
    <t>INPUT</t>
  </si>
  <si>
    <t>Minimum depth</t>
  </si>
  <si>
    <t>Minimum width</t>
  </si>
  <si>
    <t>Mz</t>
  </si>
  <si>
    <t>KNm</t>
  </si>
  <si>
    <t>mm</t>
  </si>
  <si>
    <t>Yield strength of steel</t>
  </si>
  <si>
    <t>Mpa</t>
  </si>
  <si>
    <t>Zez</t>
  </si>
  <si>
    <t>Iz:</t>
  </si>
  <si>
    <t>UDL</t>
  </si>
  <si>
    <t>cm^3</t>
  </si>
  <si>
    <t>cm^4</t>
  </si>
  <si>
    <t>Check</t>
  </si>
  <si>
    <r>
      <t>b/t  &lt;  15.7</t>
    </r>
    <r>
      <rPr>
        <sz val="11"/>
        <color theme="1"/>
        <rFont val="Calibri"/>
        <family val="2"/>
      </rPr>
      <t>€</t>
    </r>
  </si>
  <si>
    <t>d/t  &lt;  15.7€</t>
  </si>
  <si>
    <t>(b+d)/t  &lt;  18.75€</t>
  </si>
  <si>
    <t>CALCULATION</t>
  </si>
  <si>
    <t>Selecting channel:</t>
  </si>
  <si>
    <t xml:space="preserve">      - Iz</t>
  </si>
  <si>
    <t xml:space="preserve">      - Actual deflection</t>
  </si>
  <si>
    <t xml:space="preserve">      - Permissible deflection</t>
  </si>
  <si>
    <t xml:space="preserve">      - Required Iz</t>
  </si>
  <si>
    <t>30x20x3</t>
  </si>
  <si>
    <t>Run Macro AFTER giving input</t>
  </si>
  <si>
    <t>Spacing of purlin</t>
  </si>
  <si>
    <t>Spacing of truss</t>
  </si>
  <si>
    <t>Height of purlin</t>
  </si>
  <si>
    <t>Weight of sheeting provided</t>
  </si>
  <si>
    <t>Live load</t>
  </si>
  <si>
    <t>Yield stress of steel</t>
  </si>
  <si>
    <t>KN/m^2</t>
  </si>
  <si>
    <t>Load due to sheeting</t>
  </si>
  <si>
    <t>N/m</t>
  </si>
  <si>
    <t>Self weight of truss</t>
  </si>
  <si>
    <t>(assume between 100 to 125)</t>
  </si>
  <si>
    <t>Total factored weight (w)</t>
  </si>
  <si>
    <t xml:space="preserve">Factored wind load </t>
  </si>
  <si>
    <t>Force component normal to sheeting</t>
  </si>
  <si>
    <t>Force component parallel to sheeting</t>
  </si>
  <si>
    <t>Load Calculations</t>
  </si>
  <si>
    <t>Moment Calculations</t>
  </si>
  <si>
    <t>Myy</t>
  </si>
  <si>
    <t>Zpz required</t>
  </si>
  <si>
    <t>bf</t>
  </si>
  <si>
    <t>tf</t>
  </si>
  <si>
    <t>tw</t>
  </si>
  <si>
    <t xml:space="preserve">Assuming d/b ratio </t>
  </si>
  <si>
    <t>Designation</t>
  </si>
  <si>
    <t>w/m</t>
  </si>
  <si>
    <t>D</t>
  </si>
  <si>
    <t>rz</t>
  </si>
  <si>
    <t>ry</t>
  </si>
  <si>
    <t>Section modulus</t>
  </si>
  <si>
    <t>Plastic modulus</t>
  </si>
  <si>
    <t>ISWB 600</t>
  </si>
  <si>
    <t>*145.1</t>
  </si>
  <si>
    <t>*133.7</t>
  </si>
  <si>
    <t>ISMB 600</t>
  </si>
  <si>
    <t>*122.6</t>
  </si>
  <si>
    <t>ISWB 550</t>
  </si>
  <si>
    <t>*112.5</t>
  </si>
  <si>
    <t>ISLB 600</t>
  </si>
  <si>
    <t>*99.5</t>
  </si>
  <si>
    <t>ISMB 550</t>
  </si>
  <si>
    <t>ISWB 500</t>
  </si>
  <si>
    <t>* 95.2</t>
  </si>
  <si>
    <t>ISLB 550</t>
  </si>
  <si>
    <t>*86.3</t>
  </si>
  <si>
    <t>ISMB 500</t>
  </si>
  <si>
    <t>ISHB 450</t>
  </si>
  <si>
    <t>ISLB 500</t>
  </si>
  <si>
    <t>* 75</t>
  </si>
  <si>
    <t>ISWB 450</t>
  </si>
  <si>
    <t>ISHB 400</t>
  </si>
  <si>
    <t>ISMB 450</t>
  </si>
  <si>
    <t>ISLB 450</t>
  </si>
  <si>
    <t>*65.3</t>
  </si>
  <si>
    <t>ISWB 400</t>
  </si>
  <si>
    <t>ISHB 350</t>
  </si>
  <si>
    <t>ISMB 400</t>
  </si>
  <si>
    <t>*61.5</t>
  </si>
  <si>
    <t>ISLB 400</t>
  </si>
  <si>
    <t>*56.9</t>
  </si>
  <si>
    <t>ISWB 350</t>
  </si>
  <si>
    <t>ISHB 300</t>
  </si>
  <si>
    <t>ISMB 350</t>
  </si>
  <si>
    <t>ISLB 350</t>
  </si>
  <si>
    <t>ISWB 300</t>
  </si>
  <si>
    <t>ISHB 250</t>
  </si>
  <si>
    <t>ISLB 325</t>
  </si>
  <si>
    <t>*43.1</t>
  </si>
  <si>
    <t>ISMB 300</t>
  </si>
  <si>
    <t>*44.2</t>
  </si>
  <si>
    <t>ISLB 300</t>
  </si>
  <si>
    <t>*37.7</t>
  </si>
  <si>
    <t>ISHB 225</t>
  </si>
  <si>
    <t>ISWB 250</t>
  </si>
  <si>
    <t>ISMB 250</t>
  </si>
  <si>
    <t>ISLB 275</t>
  </si>
  <si>
    <t>*33.0</t>
  </si>
  <si>
    <t>ISHB 200</t>
  </si>
  <si>
    <t>ISWB 225</t>
  </si>
  <si>
    <t>ISMB 22.5</t>
  </si>
  <si>
    <t>ISLB 250</t>
  </si>
  <si>
    <t>*27.9</t>
  </si>
  <si>
    <t>ISWB 200</t>
  </si>
  <si>
    <t>ISLB 225</t>
  </si>
  <si>
    <t>*23.5</t>
  </si>
  <si>
    <t>ISMB 200</t>
  </si>
  <si>
    <t>ISHB 150</t>
  </si>
  <si>
    <t>ISWB 175</t>
  </si>
  <si>
    <t>ISLB 200</t>
  </si>
  <si>
    <t>• 19.8</t>
  </si>
  <si>
    <t>ISMB 175</t>
  </si>
  <si>
    <t>*19.3</t>
  </si>
  <si>
    <t>ISLB 175</t>
  </si>
  <si>
    <t>*16.7</t>
  </si>
  <si>
    <t>ISWB 150</t>
  </si>
  <si>
    <t>ISMB 150</t>
  </si>
  <si>
    <t>ISLB 150</t>
  </si>
  <si>
    <t>ISMB 125</t>
  </si>
  <si>
    <t>ISLB 125</t>
  </si>
  <si>
    <t>ISMB 100</t>
  </si>
  <si>
    <t>ISLB 100</t>
  </si>
  <si>
    <t>6,4</t>
  </si>
  <si>
    <t>ISLB 75</t>
  </si>
  <si>
    <t>Section Selection</t>
  </si>
  <si>
    <t>I-Section</t>
  </si>
  <si>
    <t>Radius of gyration, rz</t>
  </si>
  <si>
    <t>Radius of gyration, ry</t>
  </si>
  <si>
    <t>cm^2</t>
  </si>
  <si>
    <t>cm</t>
  </si>
  <si>
    <t>Section Classification</t>
  </si>
  <si>
    <t>Sectional Area (A)</t>
  </si>
  <si>
    <t>Depth of section (D)</t>
  </si>
  <si>
    <t>Width of flange (bf)</t>
  </si>
  <si>
    <t>Thickness of flange (tf)</t>
  </si>
  <si>
    <t>Thickness of web (tw)</t>
  </si>
  <si>
    <t>Section modulus (Z)</t>
  </si>
  <si>
    <t>Outstanding leg width of flange (b)</t>
  </si>
  <si>
    <t>Effective depth of web (d)</t>
  </si>
  <si>
    <t>Root radius (r1)</t>
  </si>
  <si>
    <t>b/tf</t>
  </si>
  <si>
    <t>d/tw</t>
  </si>
  <si>
    <t>So, Section is</t>
  </si>
  <si>
    <t>Check for design Bending Strength</t>
  </si>
  <si>
    <t>Zxx</t>
  </si>
  <si>
    <t>Zyy</t>
  </si>
  <si>
    <t>r1</t>
  </si>
  <si>
    <t>Mdx</t>
  </si>
  <si>
    <t>Plastic modulus (Zpx)</t>
  </si>
  <si>
    <t>1.2*Zex*fy/ymo</t>
  </si>
  <si>
    <t>Mdy</t>
  </si>
  <si>
    <t>Zpy = Ay</t>
  </si>
  <si>
    <t>mm^3</t>
  </si>
  <si>
    <t>1.2*Zey*fy/ymo</t>
  </si>
  <si>
    <t>Mdy &gt; Myy</t>
  </si>
  <si>
    <t>Mdx &gt; Mxx</t>
  </si>
  <si>
    <t>Mzz = Mxx</t>
  </si>
  <si>
    <t>Check for combined B.M. capacity</t>
  </si>
  <si>
    <t>Check for Deflection</t>
  </si>
  <si>
    <t>Permissible Deflection</t>
  </si>
  <si>
    <t>Maximum Deflection</t>
  </si>
  <si>
    <t>Ixx</t>
  </si>
  <si>
    <t>Design of Purlins for Howe truss using I section</t>
  </si>
  <si>
    <t>1 1.7</t>
  </si>
  <si>
    <t>Iyy</t>
  </si>
  <si>
    <t>Design of Purlins for Howe truss using channel section</t>
  </si>
  <si>
    <t>ISMC 400</t>
  </si>
  <si>
    <t>*49.4</t>
  </si>
  <si>
    <t>ISLC 400</t>
  </si>
  <si>
    <t>*45.7</t>
  </si>
  <si>
    <t>ISMC 350</t>
  </si>
  <si>
    <t>*42.1</t>
  </si>
  <si>
    <t>ISLC 350</t>
  </si>
  <si>
    <t>*38.8</t>
  </si>
  <si>
    <t>ISMC 300</t>
  </si>
  <si>
    <t>•35.8</t>
  </si>
  <si>
    <t>ISLC 300</t>
  </si>
  <si>
    <t>*33. 1</t>
  </si>
  <si>
    <t>ISMC 250</t>
  </si>
  <si>
    <t>*30.4</t>
  </si>
  <si>
    <t>ISLC 250</t>
  </si>
  <si>
    <t>ISMC 225</t>
  </si>
  <si>
    <t>*25.9</t>
  </si>
  <si>
    <t>ISLC 225</t>
  </si>
  <si>
    <t>*24.0</t>
  </si>
  <si>
    <t>ISMC200</t>
  </si>
  <si>
    <t>*22.1</t>
  </si>
  <si>
    <t>ISLC 200</t>
  </si>
  <si>
    <t>*20.6</t>
  </si>
  <si>
    <t>ISMC 175</t>
  </si>
  <si>
    <t>* 19.1</t>
  </si>
  <si>
    <t>ISLC 175</t>
  </si>
  <si>
    <t>*17.6</t>
  </si>
  <si>
    <t>ISMC 150</t>
  </si>
  <si>
    <t>6.1 1</t>
  </si>
  <si>
    <t>ISLC 150</t>
  </si>
  <si>
    <t>ISMC 125</t>
  </si>
  <si>
    <t>ISLC 125</t>
  </si>
  <si>
    <t>5.1 1</t>
  </si>
  <si>
    <t>ISMC 100</t>
  </si>
  <si>
    <t>ISLC 100</t>
  </si>
  <si>
    <t>ISMC 75</t>
  </si>
  <si>
    <t>ISLC 75</t>
  </si>
  <si>
    <t>*5.7</t>
  </si>
  <si>
    <t>Type of beam(c/s)</t>
  </si>
  <si>
    <t>Fzz</t>
  </si>
  <si>
    <t>Fyy</t>
  </si>
  <si>
    <t>Check for design Shear Strength</t>
  </si>
  <si>
    <t>Neutral axis from left corner</t>
  </si>
  <si>
    <t>Type Of Section(hot rolled , welded)</t>
  </si>
  <si>
    <t>Vdz</t>
  </si>
  <si>
    <t>Vdy</t>
  </si>
  <si>
    <t>Avz</t>
  </si>
  <si>
    <t>Avy</t>
  </si>
  <si>
    <t>z axis</t>
  </si>
  <si>
    <t>y axis</t>
  </si>
  <si>
    <t>Channel Section</t>
  </si>
  <si>
    <t>(suction)</t>
  </si>
  <si>
    <t>Shear Calculations</t>
  </si>
  <si>
    <t>KN</t>
  </si>
  <si>
    <t>welded</t>
  </si>
  <si>
    <t>Continous Beam</t>
  </si>
  <si>
    <t>mm^2</t>
  </si>
  <si>
    <t xml:space="preserve"> Section Classification</t>
  </si>
  <si>
    <t>Description:</t>
  </si>
  <si>
    <t>In this excel sheet design of angle section, I-section, Channel section for Howe Truss is done.</t>
  </si>
  <si>
    <t>For given input, the result of final design will be calculated as shown. The calculation is abstracted from excel sheet for elegant view.</t>
  </si>
  <si>
    <t>In Howe Truss calculation, DL,LL and, WL are calculated for each panel points.</t>
  </si>
  <si>
    <t xml:space="preserve">Angle section, I-section and Channel sections are designed for purlins of Howe Truss. </t>
  </si>
  <si>
    <t>Industrial sheds are low rise steel buildings generally used as workshops, factories or industries in absenteeism of interior walls.
Any building used by the industry to stock raw materials is known as an industrial building. Roof truss and portal frame is used to
cover and shelter the area of an industrial building.</t>
  </si>
  <si>
    <t>Procedure:</t>
  </si>
  <si>
    <t>Enter the input as required in the INPUT section for each sheet.</t>
  </si>
  <si>
    <t>Run the respective Macro for the sheet required.</t>
  </si>
  <si>
    <t>To RUN Macro go to Developer Tab --&gt; Visual Basic --&gt; Choose the respective sheet --&gt; RUN</t>
  </si>
  <si>
    <t>To get Developer Option go to File --&gt; Options --&gt; Customize Ribbon --&gt; Tick the developer option in checklist on right column</t>
  </si>
  <si>
    <t>NOTE</t>
  </si>
  <si>
    <t>Calculations are abstracted on the right side of excel sheet. Hidden calculations can be viewed by changing the text colour.</t>
  </si>
  <si>
    <t>Structural Engineering Drawing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</si>
</sst>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9" x14ac:knownFonts="1">
    <font>
      <sz val="11"/>
      <color theme="1"/>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sz val="14"/>
      <color theme="1"/>
      <name val="Times New Roman"/>
      <family val="1"/>
    </font>
    <font>
      <sz val="11"/>
      <color theme="4" tint="-0.499984740745262"/>
      <name val="Calibri"/>
      <family val="2"/>
      <scheme val="minor"/>
    </font>
    <font>
      <sz val="11"/>
      <color rgb="FFC00000"/>
      <name val="Calibri"/>
      <family val="2"/>
      <scheme val="minor"/>
    </font>
    <font>
      <sz val="12"/>
      <color rgb="FFC00000"/>
      <name val="Times New Roman"/>
      <family val="1"/>
    </font>
    <font>
      <sz val="8"/>
      <name val="Calibri"/>
      <family val="2"/>
      <scheme val="minor"/>
    </font>
    <font>
      <sz val="9"/>
      <color theme="1"/>
      <name val="Calibri"/>
      <family val="2"/>
      <scheme val="minor"/>
    </font>
    <font>
      <sz val="9"/>
      <color theme="4" tint="-0.499984740745262"/>
      <name val="Calibri"/>
      <family val="2"/>
      <scheme val="minor"/>
    </font>
    <font>
      <sz val="9"/>
      <color theme="1"/>
      <name val="Times New Roman"/>
      <family val="1"/>
    </font>
    <font>
      <sz val="11"/>
      <color theme="1"/>
      <name val="Arial"/>
      <family val="2"/>
    </font>
    <font>
      <sz val="11"/>
      <color theme="1"/>
      <name val="Calibri"/>
      <family val="2"/>
    </font>
    <font>
      <sz val="11"/>
      <name val="Calibri"/>
      <family val="2"/>
      <scheme val="minor"/>
    </font>
    <font>
      <sz val="11"/>
      <color theme="1"/>
      <name val="Times New Roman"/>
      <family val="1"/>
    </font>
    <font>
      <sz val="8"/>
      <color rgb="FFFF0000"/>
      <name val="Times New Roman"/>
      <family val="1"/>
    </font>
    <font>
      <b/>
      <sz val="10"/>
      <color theme="1"/>
      <name val="Calibri"/>
      <family val="2"/>
      <scheme val="minor"/>
    </font>
    <font>
      <b/>
      <sz val="11"/>
      <color rgb="FFC00000"/>
      <name val="Calibri"/>
      <family val="2"/>
      <scheme val="minor"/>
    </font>
    <font>
      <b/>
      <sz val="11"/>
      <color rgb="FFFF0000"/>
      <name val="Calibri"/>
      <family val="2"/>
      <scheme val="minor"/>
    </font>
    <font>
      <b/>
      <sz val="10"/>
      <color theme="1"/>
      <name val="Times New Roman"/>
      <family val="1"/>
    </font>
    <font>
      <sz val="11"/>
      <color rgb="FFFF0000"/>
      <name val="Times New Roman"/>
      <family val="1"/>
    </font>
    <font>
      <sz val="10"/>
      <color rgb="FFFF0000"/>
      <name val="Times New Roman"/>
      <family val="1"/>
    </font>
    <font>
      <b/>
      <sz val="11"/>
      <color rgb="FF3F3F76"/>
      <name val="Calibri"/>
      <family val="2"/>
      <scheme val="minor"/>
    </font>
    <font>
      <sz val="10"/>
      <color theme="1"/>
      <name val="Calibri"/>
      <family val="2"/>
    </font>
    <font>
      <sz val="10"/>
      <color rgb="FF000000"/>
      <name val="Calibri"/>
      <family val="2"/>
    </font>
    <font>
      <sz val="10"/>
      <name val="Calibri"/>
      <family val="2"/>
    </font>
    <font>
      <sz val="9"/>
      <color rgb="FFFF0000"/>
      <name val="Times New Roman"/>
      <family val="1"/>
    </font>
    <font>
      <b/>
      <sz val="10"/>
      <color theme="1"/>
      <name val="Calibri"/>
      <family val="2"/>
    </font>
    <font>
      <sz val="11"/>
      <color rgb="FF000000"/>
      <name val="Calibri"/>
      <family val="2"/>
      <scheme val="minor"/>
    </font>
    <font>
      <i/>
      <sz val="11"/>
      <color rgb="FF000000"/>
      <name val="Calibri"/>
      <family val="2"/>
      <scheme val="minor"/>
    </font>
    <font>
      <sz val="12"/>
      <color rgb="FFFF0000"/>
      <name val="Times New Roman"/>
      <family val="1"/>
    </font>
    <font>
      <sz val="9"/>
      <name val="Times New Roman"/>
      <family val="1"/>
    </font>
    <font>
      <b/>
      <sz val="11"/>
      <color theme="0"/>
      <name val="Calibri"/>
      <family val="2"/>
      <scheme val="minor"/>
    </font>
    <font>
      <sz val="11"/>
      <color theme="0"/>
      <name val="Calibri"/>
      <family val="2"/>
      <scheme val="minor"/>
    </font>
    <font>
      <i/>
      <sz val="11"/>
      <color theme="0"/>
      <name val="Calibri"/>
      <family val="2"/>
      <scheme val="minor"/>
    </font>
    <font>
      <sz val="10"/>
      <color theme="0"/>
      <name val="Calibri"/>
      <family val="2"/>
    </font>
    <font>
      <b/>
      <sz val="11"/>
      <color theme="0"/>
      <name val="Calibri"/>
      <family val="2"/>
    </font>
    <font>
      <sz val="11"/>
      <color theme="0"/>
      <name val="Calibri"/>
      <family val="2"/>
    </font>
    <font>
      <sz val="11"/>
      <color theme="0"/>
      <name val="Arial"/>
      <family val="2"/>
    </font>
    <font>
      <sz val="12"/>
      <color theme="1"/>
      <name val="Times New Roman"/>
      <family val="1"/>
    </font>
    <font>
      <sz val="14"/>
      <color rgb="FF002060"/>
      <name val="Times New Roman"/>
      <family val="1"/>
    </font>
    <font>
      <sz val="14"/>
      <color theme="4" tint="-0.499984740745262"/>
      <name val="Times New Roman"/>
      <family val="1"/>
    </font>
    <font>
      <sz val="16"/>
      <color rgb="FFC00000"/>
      <name val="Times New Roman"/>
      <family val="1"/>
    </font>
    <font>
      <sz val="12"/>
      <color rgb="FF002060"/>
      <name val="Times New Roman"/>
      <family val="1"/>
    </font>
    <font>
      <sz val="12"/>
      <color theme="1"/>
      <name val="Calibri"/>
      <family val="2"/>
      <scheme val="minor"/>
    </font>
    <font>
      <sz val="11"/>
      <color rgb="FFC00000"/>
      <name val="Times New Roman"/>
      <family val="1"/>
    </font>
  </fonts>
  <fills count="8">
    <fill>
      <patternFill patternType="none"/>
    </fill>
    <fill>
      <patternFill patternType="gray125"/>
    </fill>
    <fill>
      <patternFill patternType="solid">
        <fgColor rgb="FFFFCC99"/>
      </patternFill>
    </fill>
    <fill>
      <patternFill patternType="solid">
        <fgColor rgb="FFF2F2F2"/>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FFFF"/>
        <bgColor rgb="FFFFFFFF"/>
      </patternFill>
    </fill>
    <fill>
      <patternFill patternType="solid">
        <fgColor theme="0"/>
        <bgColor indexed="64"/>
      </patternFill>
    </fill>
  </fills>
  <borders count="1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
    <xf numFmtId="0" fontId="0" fillId="0" borderId="0"/>
    <xf numFmtId="0" fontId="1" fillId="2" borderId="1" applyNumberFormat="0" applyAlignment="0" applyProtection="0"/>
    <xf numFmtId="0" fontId="2" fillId="3" borderId="2" applyNumberFormat="0" applyAlignment="0" applyProtection="0"/>
    <xf numFmtId="0" fontId="3" fillId="3" borderId="1" applyNumberFormat="0" applyAlignment="0" applyProtection="0"/>
    <xf numFmtId="0" fontId="14" fillId="0" borderId="0"/>
  </cellStyleXfs>
  <cellXfs count="150">
    <xf numFmtId="0" fontId="0" fillId="0" borderId="0" xfId="0"/>
    <xf numFmtId="0" fontId="7" fillId="0" borderId="0" xfId="0" applyFont="1"/>
    <xf numFmtId="0" fontId="7" fillId="0" borderId="0" xfId="0" applyFont="1" applyAlignment="1">
      <alignment vertical="center"/>
    </xf>
    <xf numFmtId="0" fontId="7" fillId="0" borderId="0" xfId="0" applyFont="1" applyAlignment="1">
      <alignment vertical="center" wrapText="1"/>
    </xf>
    <xf numFmtId="0" fontId="4" fillId="0" borderId="0" xfId="0" applyFont="1" applyAlignment="1">
      <alignment horizontal="center" vertical="center"/>
    </xf>
    <xf numFmtId="0" fontId="3" fillId="3" borderId="1" xfId="3" applyAlignment="1">
      <alignment horizontal="center" vertical="center"/>
    </xf>
    <xf numFmtId="0" fontId="1" fillId="4" borderId="1" xfId="1" applyFill="1" applyAlignment="1">
      <alignment horizontal="center" vertical="center"/>
    </xf>
    <xf numFmtId="0" fontId="8" fillId="0" borderId="0" xfId="0" applyFont="1"/>
    <xf numFmtId="0" fontId="9" fillId="0" borderId="0" xfId="0" applyFont="1" applyFill="1" applyBorder="1"/>
    <xf numFmtId="0" fontId="3" fillId="3" borderId="1" xfId="3" applyAlignment="1">
      <alignment horizontal="center"/>
    </xf>
    <xf numFmtId="0" fontId="0" fillId="0" borderId="0" xfId="0" applyFont="1"/>
    <xf numFmtId="0" fontId="11" fillId="0" borderId="0" xfId="0" applyFont="1"/>
    <xf numFmtId="0" fontId="12" fillId="0" borderId="0" xfId="0" applyFont="1"/>
    <xf numFmtId="0" fontId="13" fillId="0" borderId="0" xfId="0" applyFont="1"/>
    <xf numFmtId="0" fontId="4" fillId="0" borderId="0" xfId="0" applyFont="1" applyAlignment="1">
      <alignment horizontal="center"/>
    </xf>
    <xf numFmtId="0" fontId="2" fillId="3" borderId="2" xfId="2" applyAlignment="1">
      <alignment horizontal="center"/>
    </xf>
    <xf numFmtId="0" fontId="0" fillId="5" borderId="6" xfId="0" applyFill="1" applyBorder="1"/>
    <xf numFmtId="0" fontId="13" fillId="5" borderId="8" xfId="0" applyFont="1" applyFill="1" applyBorder="1"/>
    <xf numFmtId="0" fontId="0" fillId="5" borderId="9" xfId="0" applyFill="1" applyBorder="1"/>
    <xf numFmtId="0" fontId="13" fillId="5" borderId="11" xfId="0" applyFont="1" applyFill="1" applyBorder="1"/>
    <xf numFmtId="0" fontId="9" fillId="0" borderId="0" xfId="0" applyFont="1"/>
    <xf numFmtId="0" fontId="5" fillId="5" borderId="7" xfId="0" applyFont="1" applyFill="1" applyBorder="1" applyAlignment="1">
      <alignment horizontal="center"/>
    </xf>
    <xf numFmtId="0" fontId="5" fillId="5" borderId="10" xfId="0" applyFont="1" applyFill="1" applyBorder="1" applyAlignment="1">
      <alignment horizontal="center"/>
    </xf>
    <xf numFmtId="0" fontId="0" fillId="0" borderId="0" xfId="0" applyFont="1" applyFill="1" applyAlignment="1">
      <alignment horizontal="center"/>
    </xf>
    <xf numFmtId="0" fontId="0" fillId="0" borderId="0" xfId="0" applyAlignment="1">
      <alignment horizontal="center"/>
    </xf>
    <xf numFmtId="0" fontId="16" fillId="0" borderId="0" xfId="0" applyFont="1" applyAlignment="1">
      <alignment horizontal="center"/>
    </xf>
    <xf numFmtId="0" fontId="17" fillId="0" borderId="0" xfId="0" applyFont="1"/>
    <xf numFmtId="0" fontId="7" fillId="0" borderId="0" xfId="0" applyFont="1" applyFill="1" applyBorder="1"/>
    <xf numFmtId="0" fontId="13" fillId="0" borderId="0" xfId="0" applyFont="1" applyFill="1" applyBorder="1"/>
    <xf numFmtId="0" fontId="1" fillId="4" borderId="1" xfId="1" applyFill="1" applyAlignment="1">
      <alignment horizontal="center"/>
    </xf>
    <xf numFmtId="0" fontId="17" fillId="0" borderId="0" xfId="0" applyFont="1" applyAlignment="1">
      <alignment horizontal="center"/>
    </xf>
    <xf numFmtId="0" fontId="20" fillId="0" borderId="0" xfId="0" applyFont="1"/>
    <xf numFmtId="0" fontId="21" fillId="0" borderId="0" xfId="0" applyFont="1"/>
    <xf numFmtId="0" fontId="0" fillId="0" borderId="0" xfId="0" applyFill="1"/>
    <xf numFmtId="0" fontId="22" fillId="0" borderId="0" xfId="0" applyFont="1" applyAlignment="1">
      <alignment horizontal="center"/>
    </xf>
    <xf numFmtId="0" fontId="17" fillId="0" borderId="0" xfId="0" applyFont="1" applyAlignment="1">
      <alignment vertical="center"/>
    </xf>
    <xf numFmtId="0" fontId="25" fillId="4" borderId="1" xfId="1" applyFont="1" applyFill="1" applyAlignment="1">
      <alignment horizontal="center"/>
    </xf>
    <xf numFmtId="0" fontId="0" fillId="0" borderId="0" xfId="0" applyAlignment="1">
      <alignment wrapText="1"/>
    </xf>
    <xf numFmtId="0" fontId="4" fillId="0" borderId="0" xfId="0" applyFont="1" applyAlignment="1">
      <alignment horizontal="center" vertical="center" wrapText="1"/>
    </xf>
    <xf numFmtId="0" fontId="13" fillId="0" borderId="0" xfId="0" applyFont="1" applyAlignment="1">
      <alignment vertical="center"/>
    </xf>
    <xf numFmtId="0" fontId="13" fillId="0" borderId="0" xfId="0" applyFont="1" applyAlignment="1">
      <alignment horizontal="center" vertical="center"/>
    </xf>
    <xf numFmtId="0" fontId="26" fillId="0" borderId="0" xfId="0" applyFont="1" applyAlignment="1">
      <alignment horizontal="center"/>
    </xf>
    <xf numFmtId="0" fontId="27" fillId="0" borderId="0" xfId="0" applyFont="1" applyAlignment="1">
      <alignment horizontal="center"/>
    </xf>
    <xf numFmtId="0" fontId="28" fillId="0" borderId="0" xfId="0" applyFont="1" applyAlignment="1">
      <alignment horizontal="center"/>
    </xf>
    <xf numFmtId="0" fontId="27" fillId="0" borderId="0" xfId="0" applyFont="1" applyBorder="1" applyAlignment="1">
      <alignment horizontal="center"/>
    </xf>
    <xf numFmtId="0" fontId="0" fillId="0" borderId="0" xfId="0" applyAlignment="1"/>
    <xf numFmtId="0" fontId="29" fillId="0" borderId="0" xfId="0" applyFont="1" applyAlignment="1">
      <alignment horizontal="center" vertical="center" wrapText="1"/>
    </xf>
    <xf numFmtId="0" fontId="0" fillId="0" borderId="0" xfId="0"/>
    <xf numFmtId="0" fontId="7" fillId="0" borderId="0" xfId="0" applyFont="1"/>
    <xf numFmtId="0" fontId="9" fillId="0" borderId="0" xfId="0" applyFont="1" applyFill="1" applyBorder="1"/>
    <xf numFmtId="0" fontId="3" fillId="3" borderId="1" xfId="3" applyAlignment="1">
      <alignment horizontal="center"/>
    </xf>
    <xf numFmtId="0" fontId="13" fillId="0" borderId="0" xfId="0" applyFont="1"/>
    <xf numFmtId="0" fontId="4" fillId="0" borderId="0" xfId="0" applyFont="1" applyAlignment="1">
      <alignment horizontal="center"/>
    </xf>
    <xf numFmtId="0" fontId="2" fillId="3" borderId="2" xfId="2" applyAlignment="1">
      <alignment horizontal="center"/>
    </xf>
    <xf numFmtId="0" fontId="9" fillId="0" borderId="0" xfId="0" applyFont="1"/>
    <xf numFmtId="0" fontId="0" fillId="0" borderId="0" xfId="0" applyAlignment="1">
      <alignment horizontal="center"/>
    </xf>
    <xf numFmtId="0" fontId="7" fillId="0" borderId="0" xfId="0" applyFont="1" applyFill="1" applyBorder="1"/>
    <xf numFmtId="0" fontId="13" fillId="0" borderId="0" xfId="0" applyFont="1" applyFill="1" applyBorder="1"/>
    <xf numFmtId="0" fontId="13" fillId="0" borderId="0" xfId="0" applyFont="1" applyAlignment="1">
      <alignment horizontal="center" vertical="center"/>
    </xf>
    <xf numFmtId="0" fontId="26" fillId="0" borderId="0" xfId="0" applyFont="1" applyAlignment="1">
      <alignment horizontal="center"/>
    </xf>
    <xf numFmtId="0" fontId="27" fillId="0" borderId="0" xfId="0" applyFont="1" applyAlignment="1">
      <alignment horizontal="center"/>
    </xf>
    <xf numFmtId="0" fontId="28" fillId="0" borderId="0" xfId="0" applyFont="1" applyAlignment="1">
      <alignment horizontal="center"/>
    </xf>
    <xf numFmtId="0" fontId="0" fillId="0" borderId="0" xfId="0" applyAlignment="1"/>
    <xf numFmtId="0" fontId="26" fillId="0" borderId="0" xfId="0" applyFont="1" applyAlignment="1">
      <alignment horizontal="center" vertical="center"/>
    </xf>
    <xf numFmtId="0" fontId="28" fillId="0" borderId="0" xfId="0" applyFont="1" applyAlignment="1">
      <alignment horizontal="center" vertical="center"/>
    </xf>
    <xf numFmtId="0" fontId="27" fillId="0" borderId="0" xfId="0" applyFont="1" applyFill="1" applyBorder="1" applyAlignment="1">
      <alignment horizontal="center"/>
    </xf>
    <xf numFmtId="0" fontId="27" fillId="0" borderId="0" xfId="0" applyFont="1" applyAlignment="1">
      <alignment horizontal="center" vertical="center"/>
    </xf>
    <xf numFmtId="0" fontId="27" fillId="0" borderId="0" xfId="0" applyFont="1" applyBorder="1" applyAlignment="1">
      <alignment horizontal="center" vertical="center"/>
    </xf>
    <xf numFmtId="0" fontId="27" fillId="0" borderId="0" xfId="0" applyFont="1" applyFill="1" applyBorder="1" applyAlignment="1">
      <alignment horizontal="center" vertical="center"/>
    </xf>
    <xf numFmtId="0" fontId="29" fillId="0" borderId="0" xfId="0" applyFont="1" applyAlignment="1">
      <alignment horizontal="center" vertical="center"/>
    </xf>
    <xf numFmtId="0" fontId="30" fillId="0" borderId="0" xfId="0" applyFont="1" applyAlignment="1">
      <alignment horizontal="center"/>
    </xf>
    <xf numFmtId="2" fontId="27" fillId="0" borderId="0" xfId="0" applyNumberFormat="1" applyFont="1" applyAlignment="1">
      <alignment horizontal="center"/>
    </xf>
    <xf numFmtId="164" fontId="0" fillId="0" borderId="0" xfId="0" applyNumberFormat="1" applyAlignment="1">
      <alignment horizontal="center"/>
    </xf>
    <xf numFmtId="0" fontId="4" fillId="0" borderId="0" xfId="0" applyFont="1" applyFill="1" applyBorder="1" applyAlignment="1">
      <alignment horizontal="center"/>
    </xf>
    <xf numFmtId="0" fontId="31" fillId="0" borderId="0" xfId="0" applyFont="1" applyAlignment="1">
      <alignment horizontal="center" vertical="center"/>
    </xf>
    <xf numFmtId="0" fontId="16" fillId="0" borderId="0" xfId="0" applyFont="1" applyAlignment="1">
      <alignment horizontal="center" vertical="center"/>
    </xf>
    <xf numFmtId="0" fontId="31" fillId="0" borderId="0" xfId="0" applyFont="1" applyAlignment="1">
      <alignment horizontal="center"/>
    </xf>
    <xf numFmtId="0" fontId="0" fillId="0" borderId="0" xfId="0" applyFont="1" applyAlignment="1">
      <alignment horizontal="center"/>
    </xf>
    <xf numFmtId="0" fontId="31" fillId="6" borderId="0" xfId="0" applyFont="1" applyFill="1" applyAlignment="1">
      <alignment horizontal="center"/>
    </xf>
    <xf numFmtId="0" fontId="32" fillId="0" borderId="0" xfId="0" applyFont="1" applyAlignment="1">
      <alignment horizontal="center"/>
    </xf>
    <xf numFmtId="164" fontId="31" fillId="0" borderId="0" xfId="0" applyNumberFormat="1" applyFont="1" applyAlignment="1">
      <alignment horizontal="center"/>
    </xf>
    <xf numFmtId="0" fontId="0" fillId="0" borderId="0" xfId="0" applyFill="1" applyBorder="1"/>
    <xf numFmtId="0" fontId="16" fillId="0" borderId="0" xfId="0" applyFont="1"/>
    <xf numFmtId="0" fontId="16" fillId="0" borderId="0" xfId="0" applyFont="1" applyAlignment="1"/>
    <xf numFmtId="0" fontId="1" fillId="2" borderId="1" xfId="1" applyAlignment="1">
      <alignment horizontal="center" vertical="center"/>
    </xf>
    <xf numFmtId="0" fontId="33" fillId="0" borderId="0" xfId="0" applyFont="1"/>
    <xf numFmtId="0" fontId="34" fillId="0" borderId="0" xfId="0" applyFont="1"/>
    <xf numFmtId="0" fontId="36" fillId="0" borderId="0" xfId="0" applyFont="1"/>
    <xf numFmtId="0" fontId="36" fillId="0" borderId="0" xfId="0" applyFont="1" applyBorder="1" applyAlignment="1">
      <alignment horizontal="center"/>
    </xf>
    <xf numFmtId="0" fontId="36" fillId="0" borderId="0" xfId="0" applyFont="1" applyBorder="1"/>
    <xf numFmtId="0" fontId="35" fillId="0" borderId="0" xfId="0" applyFont="1" applyAlignment="1">
      <alignment horizontal="center" vertical="center" wrapText="1"/>
    </xf>
    <xf numFmtId="0" fontId="36" fillId="0" borderId="0" xfId="0" applyFont="1" applyAlignment="1">
      <alignment horizontal="center"/>
    </xf>
    <xf numFmtId="0" fontId="36" fillId="0" borderId="0" xfId="0" applyFont="1" applyAlignment="1">
      <alignment horizontal="center" vertical="center"/>
    </xf>
    <xf numFmtId="0" fontId="36" fillId="6" borderId="0" xfId="0" applyFont="1" applyFill="1" applyAlignment="1">
      <alignment horizontal="center"/>
    </xf>
    <xf numFmtId="0" fontId="37" fillId="0" borderId="0" xfId="0" applyFont="1" applyAlignment="1">
      <alignment horizontal="center"/>
    </xf>
    <xf numFmtId="1" fontId="36" fillId="0" borderId="0" xfId="0" applyNumberFormat="1" applyFont="1" applyAlignment="1">
      <alignment horizontal="center"/>
    </xf>
    <xf numFmtId="164" fontId="36" fillId="0" borderId="0" xfId="0" applyNumberFormat="1" applyFont="1" applyAlignment="1">
      <alignment horizontal="center"/>
    </xf>
    <xf numFmtId="0" fontId="36" fillId="0" borderId="0" xfId="0" applyFont="1" applyAlignment="1"/>
    <xf numFmtId="0" fontId="36" fillId="0" borderId="0" xfId="0" applyFont="1" applyBorder="1" applyAlignment="1"/>
    <xf numFmtId="0" fontId="38" fillId="0" borderId="0" xfId="0" applyFont="1" applyBorder="1" applyAlignment="1">
      <alignment horizontal="center"/>
    </xf>
    <xf numFmtId="0" fontId="38" fillId="0" borderId="0" xfId="0" applyFont="1" applyFill="1" applyBorder="1" applyAlignment="1">
      <alignment horizontal="center"/>
    </xf>
    <xf numFmtId="0" fontId="36" fillId="7" borderId="0" xfId="0" applyFont="1" applyFill="1" applyBorder="1" applyAlignment="1"/>
    <xf numFmtId="0" fontId="39" fillId="0" borderId="0" xfId="0" applyFont="1" applyFill="1" applyBorder="1" applyAlignment="1">
      <alignment horizontal="center" vertical="center" wrapText="1"/>
    </xf>
    <xf numFmtId="0" fontId="35" fillId="0" borderId="0" xfId="0" applyFont="1" applyFill="1" applyBorder="1" applyAlignment="1">
      <alignment horizontal="center" vertical="center"/>
    </xf>
    <xf numFmtId="0" fontId="40" fillId="0" borderId="0" xfId="0" applyFont="1" applyFill="1" applyBorder="1" applyAlignment="1">
      <alignment horizontal="center"/>
    </xf>
    <xf numFmtId="0" fontId="36" fillId="0" borderId="0" xfId="0" applyFont="1" applyFill="1" applyBorder="1" applyAlignment="1">
      <alignment horizontal="center"/>
    </xf>
    <xf numFmtId="0" fontId="41" fillId="0" borderId="0" xfId="0" applyFont="1" applyFill="1" applyBorder="1" applyAlignment="1">
      <alignment horizontal="center"/>
    </xf>
    <xf numFmtId="0" fontId="36" fillId="6" borderId="0" xfId="0" applyFont="1" applyFill="1" applyBorder="1" applyAlignment="1">
      <alignment horizontal="center"/>
    </xf>
    <xf numFmtId="0" fontId="35" fillId="0" borderId="0" xfId="0" applyFont="1" applyBorder="1" applyAlignment="1">
      <alignment horizontal="center"/>
    </xf>
    <xf numFmtId="0" fontId="40" fillId="0" borderId="0" xfId="4" applyFont="1" applyBorder="1" applyAlignment="1">
      <alignment horizontal="center"/>
    </xf>
    <xf numFmtId="0" fontId="36" fillId="0" borderId="0" xfId="4" applyFont="1" applyBorder="1" applyAlignment="1">
      <alignment horizontal="center"/>
    </xf>
    <xf numFmtId="0" fontId="35" fillId="0" borderId="0" xfId="0" applyFont="1" applyFill="1" applyBorder="1" applyAlignment="1">
      <alignment horizontal="center"/>
    </xf>
    <xf numFmtId="0" fontId="35" fillId="0" borderId="0" xfId="0" applyFont="1" applyBorder="1"/>
    <xf numFmtId="0" fontId="36" fillId="0" borderId="0" xfId="4" applyFont="1" applyFill="1" applyBorder="1" applyAlignment="1">
      <alignment horizontal="center"/>
    </xf>
    <xf numFmtId="0" fontId="40" fillId="0" borderId="0" xfId="4" applyFont="1" applyFill="1" applyBorder="1" applyAlignment="1">
      <alignment horizontal="center"/>
    </xf>
    <xf numFmtId="0" fontId="40" fillId="0" borderId="0" xfId="0" applyFont="1" applyBorder="1" applyAlignment="1">
      <alignment horizontal="center"/>
    </xf>
    <xf numFmtId="0" fontId="7" fillId="5" borderId="3" xfId="0" applyFont="1" applyFill="1" applyBorder="1"/>
    <xf numFmtId="0" fontId="19" fillId="5" borderId="5" xfId="0" applyFont="1" applyFill="1" applyBorder="1" applyAlignment="1">
      <alignment horizontal="center"/>
    </xf>
    <xf numFmtId="0" fontId="0" fillId="7" borderId="0" xfId="0" applyFill="1"/>
    <xf numFmtId="0" fontId="46" fillId="7" borderId="0" xfId="0" applyFont="1" applyFill="1" applyAlignment="1">
      <alignment horizontal="center"/>
    </xf>
    <xf numFmtId="0" fontId="47" fillId="7" borderId="0" xfId="0" applyFont="1" applyFill="1" applyAlignment="1">
      <alignment horizontal="center"/>
    </xf>
    <xf numFmtId="0" fontId="42" fillId="7" borderId="0" xfId="0" applyFont="1" applyFill="1"/>
    <xf numFmtId="0" fontId="42" fillId="7" borderId="0" xfId="0" applyFont="1" applyFill="1" applyAlignment="1">
      <alignment horizontal="center"/>
    </xf>
    <xf numFmtId="0" fontId="48" fillId="7" borderId="0" xfId="0" applyFont="1" applyFill="1" applyAlignment="1">
      <alignment horizontal="center"/>
    </xf>
    <xf numFmtId="0" fontId="17" fillId="7" borderId="0" xfId="0" applyFont="1" applyFill="1"/>
    <xf numFmtId="0" fontId="45" fillId="7" borderId="0" xfId="0" applyFont="1" applyFill="1" applyBorder="1" applyAlignment="1">
      <alignment horizontal="center"/>
    </xf>
    <xf numFmtId="0" fontId="45" fillId="7" borderId="0" xfId="0" applyFont="1" applyFill="1" applyBorder="1" applyAlignment="1"/>
    <xf numFmtId="0" fontId="44" fillId="7" borderId="0" xfId="0" applyFont="1" applyFill="1" applyAlignment="1">
      <alignment horizontal="center"/>
    </xf>
    <xf numFmtId="0" fontId="42" fillId="7" borderId="0" xfId="0" applyFont="1" applyFill="1" applyAlignment="1">
      <alignment horizontal="left"/>
    </xf>
    <xf numFmtId="0" fontId="42" fillId="7" borderId="0" xfId="0" applyFont="1" applyFill="1" applyAlignment="1">
      <alignment horizontal="left" wrapText="1"/>
    </xf>
    <xf numFmtId="0" fontId="43" fillId="7" borderId="0" xfId="0" applyFont="1" applyFill="1" applyAlignment="1">
      <alignment horizontal="center"/>
    </xf>
    <xf numFmtId="0" fontId="6" fillId="0" borderId="3" xfId="0" applyFont="1" applyFill="1" applyBorder="1" applyAlignment="1">
      <alignment horizontal="center"/>
    </xf>
    <xf numFmtId="0" fontId="6" fillId="0" borderId="4" xfId="0" applyFont="1" applyFill="1" applyBorder="1" applyAlignment="1">
      <alignment horizontal="center"/>
    </xf>
    <xf numFmtId="0" fontId="6" fillId="0" borderId="5" xfId="0" applyFont="1" applyFill="1" applyBorder="1" applyAlignment="1">
      <alignment horizontal="center"/>
    </xf>
    <xf numFmtId="0" fontId="4" fillId="0" borderId="0" xfId="0" applyFont="1" applyFill="1" applyAlignment="1">
      <alignment horizontal="center" vertical="center" textRotation="255"/>
    </xf>
    <xf numFmtId="0" fontId="36" fillId="0" borderId="0" xfId="0" applyFont="1" applyBorder="1" applyAlignment="1">
      <alignment horizontal="center"/>
    </xf>
    <xf numFmtId="0" fontId="23" fillId="0" borderId="6" xfId="0" applyFont="1" applyBorder="1" applyAlignment="1">
      <alignment horizontal="center" vertical="center"/>
    </xf>
    <xf numFmtId="0" fontId="23" fillId="0" borderId="7" xfId="0" applyFont="1" applyBorder="1" applyAlignment="1">
      <alignment horizontal="center" vertical="center"/>
    </xf>
    <xf numFmtId="0" fontId="23" fillId="0" borderId="8" xfId="0" applyFont="1" applyBorder="1" applyAlignment="1">
      <alignment horizontal="center" vertical="center"/>
    </xf>
    <xf numFmtId="0" fontId="23" fillId="0" borderId="9" xfId="0" applyFont="1" applyBorder="1" applyAlignment="1">
      <alignment horizontal="center" vertical="center"/>
    </xf>
    <xf numFmtId="0" fontId="23" fillId="0" borderId="10" xfId="0" applyFont="1" applyBorder="1" applyAlignment="1">
      <alignment horizontal="center" vertical="center"/>
    </xf>
    <xf numFmtId="0" fontId="23" fillId="0" borderId="11" xfId="0" applyFont="1" applyBorder="1" applyAlignment="1">
      <alignment horizontal="center" vertical="center"/>
    </xf>
    <xf numFmtId="0" fontId="6" fillId="0" borderId="3" xfId="0" applyFont="1" applyBorder="1" applyAlignment="1">
      <alignment horizontal="center"/>
    </xf>
    <xf numFmtId="0" fontId="6" fillId="0" borderId="4" xfId="0" applyFont="1" applyBorder="1" applyAlignment="1">
      <alignment horizontal="center"/>
    </xf>
    <xf numFmtId="0" fontId="6" fillId="0" borderId="5" xfId="0" applyFont="1" applyBorder="1" applyAlignment="1">
      <alignment horizontal="center"/>
    </xf>
    <xf numFmtId="0" fontId="18" fillId="0" borderId="0" xfId="0" applyFont="1" applyAlignment="1">
      <alignment horizontal="center" vertical="center" textRotation="255" wrapText="1"/>
    </xf>
    <xf numFmtId="0" fontId="18" fillId="0" borderId="0" xfId="0" applyFont="1" applyFill="1" applyAlignment="1">
      <alignment horizontal="center" vertical="center" textRotation="255"/>
    </xf>
    <xf numFmtId="0" fontId="23" fillId="0" borderId="0" xfId="0" applyFont="1" applyAlignment="1">
      <alignment horizontal="center"/>
    </xf>
    <xf numFmtId="0" fontId="24" fillId="0" borderId="0" xfId="0" applyFont="1" applyAlignment="1">
      <alignment horizontal="center" vertical="center" textRotation="255"/>
    </xf>
    <xf numFmtId="0" fontId="0" fillId="7" borderId="0" xfId="0" applyFill="1" applyBorder="1"/>
  </cellXfs>
  <cellStyles count="5">
    <cellStyle name="Calculation" xfId="3" builtinId="22"/>
    <cellStyle name="Input" xfId="1" builtinId="20"/>
    <cellStyle name="Normal" xfId="0" builtinId="0"/>
    <cellStyle name="Normal 2" xfId="4" xr:uid="{00000000-0005-0000-0000-000003000000}"/>
    <cellStyle name="Output"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8.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22</xdr:row>
      <xdr:rowOff>0</xdr:rowOff>
    </xdr:from>
    <xdr:to>
      <xdr:col>12</xdr:col>
      <xdr:colOff>619975</xdr:colOff>
      <xdr:row>36</xdr:row>
      <xdr:rowOff>80683</xdr:rowOff>
    </xdr:to>
    <xdr:pic>
      <xdr:nvPicPr>
        <xdr:cNvPr id="3" name="Picture 2">
          <a:extLst>
            <a:ext uri="{FF2B5EF4-FFF2-40B4-BE49-F238E27FC236}">
              <a16:creationId xmlns:a16="http://schemas.microsoft.com/office/drawing/2014/main" id="{C0364ABA-07E1-4C28-925E-1747D5B24CF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8094" y="4419600"/>
          <a:ext cx="5962940" cy="26266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564777</xdr:colOff>
      <xdr:row>10</xdr:row>
      <xdr:rowOff>143434</xdr:rowOff>
    </xdr:from>
    <xdr:to>
      <xdr:col>10</xdr:col>
      <xdr:colOff>71718</xdr:colOff>
      <xdr:row>26</xdr:row>
      <xdr:rowOff>28991</xdr:rowOff>
    </xdr:to>
    <xdr:pic>
      <xdr:nvPicPr>
        <xdr:cNvPr id="3" name="Picture 2">
          <a:extLst>
            <a:ext uri="{FF2B5EF4-FFF2-40B4-BE49-F238E27FC236}">
              <a16:creationId xmlns:a16="http://schemas.microsoft.com/office/drawing/2014/main" id="{815F1E62-BD79-48F1-9A2D-CA63AA92B09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27177" y="2017058"/>
          <a:ext cx="3092823" cy="27901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938464</xdr:colOff>
      <xdr:row>32</xdr:row>
      <xdr:rowOff>16042</xdr:rowOff>
    </xdr:from>
    <xdr:to>
      <xdr:col>6</xdr:col>
      <xdr:colOff>447120</xdr:colOff>
      <xdr:row>34</xdr:row>
      <xdr:rowOff>176463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652211" y="6184231"/>
          <a:ext cx="2548635" cy="529390"/>
        </a:xfrm>
        <a:prstGeom prst="rect">
          <a:avLst/>
        </a:prstGeom>
      </xdr:spPr>
    </xdr:pic>
    <xdr:clientData/>
  </xdr:twoCellAnchor>
  <xdr:twoCellAnchor editAs="oneCell">
    <xdr:from>
      <xdr:col>4</xdr:col>
      <xdr:colOff>31613</xdr:colOff>
      <xdr:row>63</xdr:row>
      <xdr:rowOff>10439</xdr:rowOff>
    </xdr:from>
    <xdr:to>
      <xdr:col>6</xdr:col>
      <xdr:colOff>46444</xdr:colOff>
      <xdr:row>68</xdr:row>
      <xdr:rowOff>125709</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4690699" y="11973839"/>
          <a:ext cx="2104888" cy="1040556"/>
        </a:xfrm>
        <a:prstGeom prst="rect">
          <a:avLst/>
        </a:prstGeom>
      </xdr:spPr>
    </xdr:pic>
    <xdr:clientData/>
  </xdr:twoCellAnchor>
  <xdr:twoCellAnchor editAs="oneCell">
    <xdr:from>
      <xdr:col>4</xdr:col>
      <xdr:colOff>6597</xdr:colOff>
      <xdr:row>36</xdr:row>
      <xdr:rowOff>177882</xdr:rowOff>
    </xdr:from>
    <xdr:to>
      <xdr:col>6</xdr:col>
      <xdr:colOff>835280</xdr:colOff>
      <xdr:row>53</xdr:row>
      <xdr:rowOff>65314</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4665683" y="7112082"/>
          <a:ext cx="2918740" cy="3055175"/>
        </a:xfrm>
        <a:prstGeom prst="rect">
          <a:avLst/>
        </a:prstGeom>
      </xdr:spPr>
    </xdr:pic>
    <xdr:clientData/>
  </xdr:twoCellAnchor>
  <xdr:twoCellAnchor editAs="oneCell">
    <xdr:from>
      <xdr:col>4</xdr:col>
      <xdr:colOff>32656</xdr:colOff>
      <xdr:row>70</xdr:row>
      <xdr:rowOff>178462</xdr:rowOff>
    </xdr:from>
    <xdr:to>
      <xdr:col>4</xdr:col>
      <xdr:colOff>903513</xdr:colOff>
      <xdr:row>73</xdr:row>
      <xdr:rowOff>178399</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4691742" y="13437262"/>
          <a:ext cx="870857" cy="555108"/>
        </a:xfrm>
        <a:prstGeom prst="rect">
          <a:avLst/>
        </a:prstGeom>
      </xdr:spPr>
    </xdr:pic>
    <xdr:clientData/>
  </xdr:twoCellAnchor>
  <xdr:twoCellAnchor editAs="oneCell">
    <xdr:from>
      <xdr:col>4</xdr:col>
      <xdr:colOff>0</xdr:colOff>
      <xdr:row>77</xdr:row>
      <xdr:rowOff>1</xdr:rowOff>
    </xdr:from>
    <xdr:to>
      <xdr:col>4</xdr:col>
      <xdr:colOff>1074673</xdr:colOff>
      <xdr:row>79</xdr:row>
      <xdr:rowOff>65315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5"/>
        <a:stretch>
          <a:fillRect/>
        </a:stretch>
      </xdr:blipFill>
      <xdr:spPr>
        <a:xfrm>
          <a:off x="4659086" y="14565087"/>
          <a:ext cx="1074673" cy="43542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938464</xdr:colOff>
      <xdr:row>35</xdr:row>
      <xdr:rowOff>16042</xdr:rowOff>
    </xdr:from>
    <xdr:to>
      <xdr:col>6</xdr:col>
      <xdr:colOff>357473</xdr:colOff>
      <xdr:row>37</xdr:row>
      <xdr:rowOff>176462</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510339" y="6369217"/>
          <a:ext cx="2480456" cy="531896"/>
        </a:xfrm>
        <a:prstGeom prst="rect">
          <a:avLst/>
        </a:prstGeom>
      </xdr:spPr>
    </xdr:pic>
    <xdr:clientData/>
  </xdr:twoCellAnchor>
  <xdr:twoCellAnchor editAs="oneCell">
    <xdr:from>
      <xdr:col>4</xdr:col>
      <xdr:colOff>31613</xdr:colOff>
      <xdr:row>79</xdr:row>
      <xdr:rowOff>10439</xdr:rowOff>
    </xdr:from>
    <xdr:to>
      <xdr:col>5</xdr:col>
      <xdr:colOff>875679</xdr:colOff>
      <xdr:row>84</xdr:row>
      <xdr:rowOff>125710</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546463" y="12288164"/>
          <a:ext cx="2043656" cy="1067770"/>
        </a:xfrm>
        <a:prstGeom prst="rect">
          <a:avLst/>
        </a:prstGeom>
      </xdr:spPr>
    </xdr:pic>
    <xdr:clientData/>
  </xdr:twoCellAnchor>
  <xdr:twoCellAnchor editAs="oneCell">
    <xdr:from>
      <xdr:col>4</xdr:col>
      <xdr:colOff>32656</xdr:colOff>
      <xdr:row>86</xdr:row>
      <xdr:rowOff>178462</xdr:rowOff>
    </xdr:from>
    <xdr:to>
      <xdr:col>4</xdr:col>
      <xdr:colOff>903513</xdr:colOff>
      <xdr:row>90</xdr:row>
      <xdr:rowOff>268</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3"/>
        <a:stretch>
          <a:fillRect/>
        </a:stretch>
      </xdr:blipFill>
      <xdr:spPr>
        <a:xfrm>
          <a:off x="4547506" y="13789687"/>
          <a:ext cx="870857" cy="571437"/>
        </a:xfrm>
        <a:prstGeom prst="rect">
          <a:avLst/>
        </a:prstGeom>
      </xdr:spPr>
    </xdr:pic>
    <xdr:clientData/>
  </xdr:twoCellAnchor>
  <xdr:twoCellAnchor editAs="oneCell">
    <xdr:from>
      <xdr:col>4</xdr:col>
      <xdr:colOff>0</xdr:colOff>
      <xdr:row>93</xdr:row>
      <xdr:rowOff>1</xdr:rowOff>
    </xdr:from>
    <xdr:to>
      <xdr:col>4</xdr:col>
      <xdr:colOff>1074673</xdr:colOff>
      <xdr:row>95</xdr:row>
      <xdr:rowOff>65316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4"/>
        <a:stretch>
          <a:fillRect/>
        </a:stretch>
      </xdr:blipFill>
      <xdr:spPr>
        <a:xfrm>
          <a:off x="4514850" y="14954251"/>
          <a:ext cx="1074673" cy="446314"/>
        </a:xfrm>
        <a:prstGeom prst="rect">
          <a:avLst/>
        </a:prstGeom>
      </xdr:spPr>
    </xdr:pic>
    <xdr:clientData/>
  </xdr:twoCellAnchor>
  <xdr:twoCellAnchor editAs="oneCell">
    <xdr:from>
      <xdr:col>4</xdr:col>
      <xdr:colOff>316673</xdr:colOff>
      <xdr:row>40</xdr:row>
      <xdr:rowOff>39585</xdr:rowOff>
    </xdr:from>
    <xdr:to>
      <xdr:col>6</xdr:col>
      <xdr:colOff>277089</xdr:colOff>
      <xdr:row>55</xdr:row>
      <xdr:rowOff>128923</xdr:rowOff>
    </xdr:to>
    <xdr:pic>
      <xdr:nvPicPr>
        <xdr:cNvPr id="7" name="Picture 6">
          <a:extLst>
            <a:ext uri="{FF2B5EF4-FFF2-40B4-BE49-F238E27FC236}">
              <a16:creationId xmlns:a16="http://schemas.microsoft.com/office/drawing/2014/main" id="{C679AD07-B7EB-439F-A22B-E7C94FFD54B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957946" y="7501247"/>
          <a:ext cx="2137559" cy="27612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C3800-752F-4E22-AC40-E1C57FEA4A69}">
  <sheetPr codeName="Sheet5"/>
  <dimension ref="A1:X31"/>
  <sheetViews>
    <sheetView tabSelected="1" workbookViewId="0">
      <selection activeCell="K5" sqref="K5"/>
    </sheetView>
  </sheetViews>
  <sheetFormatPr defaultRowHeight="14.4" x14ac:dyDescent="0.3"/>
  <sheetData>
    <row r="1" spans="1:24" x14ac:dyDescent="0.3">
      <c r="A1" s="118"/>
      <c r="B1" s="118"/>
      <c r="C1" s="118"/>
      <c r="D1" s="118"/>
      <c r="E1" s="118"/>
      <c r="F1" s="118"/>
      <c r="G1" s="118"/>
      <c r="H1" s="118"/>
      <c r="I1" s="118"/>
      <c r="J1" s="118"/>
      <c r="K1" s="118"/>
      <c r="L1" s="118"/>
      <c r="M1" s="118"/>
      <c r="N1" s="118"/>
      <c r="O1" s="118"/>
      <c r="P1" s="118"/>
      <c r="Q1" s="118"/>
      <c r="R1" s="118"/>
      <c r="S1" s="118"/>
      <c r="T1" s="118"/>
      <c r="U1" s="118"/>
      <c r="V1" s="118"/>
      <c r="W1" s="118"/>
      <c r="X1" s="118"/>
    </row>
    <row r="2" spans="1:24" x14ac:dyDescent="0.3">
      <c r="A2" s="118"/>
      <c r="B2" s="118"/>
      <c r="C2" s="118"/>
      <c r="D2" s="118"/>
      <c r="E2" s="118"/>
      <c r="F2" s="118"/>
      <c r="G2" s="118"/>
      <c r="H2" s="118"/>
      <c r="I2" s="118"/>
      <c r="J2" s="118"/>
      <c r="K2" s="118"/>
      <c r="L2" s="118"/>
      <c r="M2" s="118"/>
      <c r="N2" s="118"/>
      <c r="O2" s="118"/>
      <c r="P2" s="118"/>
      <c r="Q2" s="118"/>
      <c r="R2" s="118"/>
      <c r="S2" s="118"/>
      <c r="T2" s="118"/>
      <c r="U2" s="118"/>
      <c r="V2" s="118"/>
      <c r="W2" s="118"/>
      <c r="X2" s="118"/>
    </row>
    <row r="3" spans="1:24" ht="21" x14ac:dyDescent="0.4">
      <c r="B3" s="125"/>
      <c r="C3" s="125"/>
      <c r="D3" s="62"/>
      <c r="E3" s="126" t="s">
        <v>449</v>
      </c>
      <c r="F3" s="126"/>
      <c r="G3" s="126"/>
      <c r="H3" s="126"/>
      <c r="I3" s="126"/>
      <c r="J3" s="126"/>
      <c r="K3" s="126"/>
      <c r="L3" s="126"/>
      <c r="M3" s="126"/>
      <c r="N3" s="118"/>
      <c r="O3" s="118"/>
      <c r="P3" s="118"/>
      <c r="Q3" s="118"/>
      <c r="R3" s="118"/>
      <c r="S3" s="118"/>
      <c r="T3" s="118"/>
      <c r="U3" s="118"/>
      <c r="V3" s="118"/>
      <c r="W3" s="118"/>
      <c r="X3" s="118"/>
    </row>
    <row r="4" spans="1:24" x14ac:dyDescent="0.3">
      <c r="A4" s="118"/>
      <c r="B4" s="118"/>
      <c r="C4" s="118"/>
      <c r="D4" s="149"/>
      <c r="E4" s="149"/>
      <c r="F4" s="149"/>
      <c r="G4" s="149"/>
      <c r="H4" s="149"/>
      <c r="I4" s="149"/>
      <c r="J4" s="149"/>
      <c r="K4" s="149"/>
      <c r="L4" s="149"/>
      <c r="M4" s="149"/>
      <c r="N4" s="118"/>
      <c r="O4" s="118"/>
      <c r="P4" s="118"/>
      <c r="Q4" s="118"/>
      <c r="R4" s="118"/>
      <c r="S4" s="118"/>
      <c r="T4" s="118"/>
      <c r="U4" s="118"/>
      <c r="V4" s="118"/>
      <c r="W4" s="118"/>
      <c r="X4" s="118"/>
    </row>
    <row r="5" spans="1:24" x14ac:dyDescent="0.3">
      <c r="A5" s="124"/>
      <c r="B5" s="124"/>
      <c r="C5" s="124"/>
      <c r="D5" s="149"/>
      <c r="E5" s="149"/>
      <c r="F5" s="149"/>
      <c r="G5" s="149"/>
      <c r="H5" s="149"/>
      <c r="I5" s="149"/>
      <c r="J5" s="149"/>
      <c r="K5" s="149"/>
      <c r="L5" s="149"/>
      <c r="M5" s="149"/>
      <c r="N5" s="118"/>
      <c r="O5" s="118"/>
      <c r="P5" s="118"/>
      <c r="Q5" s="118"/>
      <c r="R5" s="118"/>
      <c r="S5" s="118"/>
      <c r="T5" s="118"/>
      <c r="U5" s="118"/>
      <c r="V5" s="118"/>
      <c r="W5" s="118"/>
      <c r="X5" s="118"/>
    </row>
    <row r="6" spans="1:24" ht="18" x14ac:dyDescent="0.35">
      <c r="A6" s="130" t="s">
        <v>436</v>
      </c>
      <c r="B6" s="130"/>
      <c r="C6" s="118"/>
      <c r="D6" s="149"/>
      <c r="E6" s="149"/>
      <c r="F6" s="149"/>
      <c r="G6" s="149"/>
      <c r="H6" s="149"/>
      <c r="I6" s="149"/>
      <c r="J6" s="149"/>
      <c r="K6" s="149"/>
      <c r="L6" s="149"/>
      <c r="M6" s="149"/>
      <c r="N6" s="118"/>
      <c r="O6" s="118"/>
      <c r="P6" s="118"/>
      <c r="Q6" s="118"/>
      <c r="R6" s="118"/>
      <c r="S6" s="118"/>
      <c r="T6" s="118"/>
      <c r="U6" s="118"/>
      <c r="V6" s="118"/>
      <c r="W6" s="118"/>
      <c r="X6" s="118"/>
    </row>
    <row r="7" spans="1:24" s="47" customFormat="1" ht="14.4" customHeight="1" x14ac:dyDescent="0.3">
      <c r="A7" s="119"/>
      <c r="B7" s="129" t="s">
        <v>441</v>
      </c>
      <c r="C7" s="129"/>
      <c r="D7" s="129"/>
      <c r="E7" s="129"/>
      <c r="F7" s="129"/>
      <c r="G7" s="129"/>
      <c r="H7" s="129"/>
      <c r="I7" s="129"/>
      <c r="J7" s="129"/>
      <c r="K7" s="129"/>
      <c r="L7" s="129"/>
      <c r="M7" s="129"/>
      <c r="N7" s="129"/>
      <c r="O7" s="118"/>
      <c r="P7" s="118"/>
      <c r="Q7" s="118"/>
      <c r="R7" s="118"/>
      <c r="S7" s="118"/>
      <c r="T7" s="118"/>
      <c r="U7" s="118"/>
      <c r="V7" s="118"/>
      <c r="W7" s="118"/>
      <c r="X7" s="118"/>
    </row>
    <row r="8" spans="1:24" s="47" customFormat="1" ht="14.4" customHeight="1" x14ac:dyDescent="0.3">
      <c r="A8" s="119">
        <v>1</v>
      </c>
      <c r="B8" s="129"/>
      <c r="C8" s="129"/>
      <c r="D8" s="129"/>
      <c r="E8" s="129"/>
      <c r="F8" s="129"/>
      <c r="G8" s="129"/>
      <c r="H8" s="129"/>
      <c r="I8" s="129"/>
      <c r="J8" s="129"/>
      <c r="K8" s="129"/>
      <c r="L8" s="129"/>
      <c r="M8" s="129"/>
      <c r="N8" s="129"/>
      <c r="O8" s="118"/>
      <c r="P8" s="118"/>
      <c r="Q8" s="118"/>
      <c r="R8" s="118"/>
      <c r="S8" s="118"/>
      <c r="T8" s="118"/>
      <c r="U8" s="118"/>
      <c r="V8" s="118"/>
      <c r="W8" s="118"/>
      <c r="X8" s="118"/>
    </row>
    <row r="9" spans="1:24" s="47" customFormat="1" ht="14.4" customHeight="1" x14ac:dyDescent="0.3">
      <c r="A9" s="119"/>
      <c r="B9" s="129"/>
      <c r="C9" s="129"/>
      <c r="D9" s="129"/>
      <c r="E9" s="129"/>
      <c r="F9" s="129"/>
      <c r="G9" s="129"/>
      <c r="H9" s="129"/>
      <c r="I9" s="129"/>
      <c r="J9" s="129"/>
      <c r="K9" s="129"/>
      <c r="L9" s="129"/>
      <c r="M9" s="129"/>
      <c r="N9" s="129"/>
      <c r="O9" s="118"/>
      <c r="P9" s="118"/>
      <c r="Q9" s="118"/>
      <c r="R9" s="118"/>
      <c r="S9" s="118"/>
      <c r="T9" s="118"/>
      <c r="U9" s="118"/>
      <c r="V9" s="118"/>
      <c r="W9" s="118"/>
      <c r="X9" s="118"/>
    </row>
    <row r="10" spans="1:24" s="47" customFormat="1" ht="14.4" customHeight="1" x14ac:dyDescent="0.3">
      <c r="A10" s="119"/>
      <c r="B10" s="129"/>
      <c r="C10" s="129"/>
      <c r="D10" s="129"/>
      <c r="E10" s="129"/>
      <c r="F10" s="129"/>
      <c r="G10" s="129"/>
      <c r="H10" s="129"/>
      <c r="I10" s="129"/>
      <c r="J10" s="129"/>
      <c r="K10" s="129"/>
      <c r="L10" s="129"/>
      <c r="M10" s="129"/>
      <c r="N10" s="129"/>
      <c r="O10" s="118"/>
      <c r="P10" s="118"/>
      <c r="Q10" s="118"/>
      <c r="R10" s="118"/>
      <c r="S10" s="118"/>
      <c r="T10" s="118"/>
      <c r="U10" s="118"/>
      <c r="V10" s="118"/>
      <c r="W10" s="118"/>
      <c r="X10" s="118"/>
    </row>
    <row r="11" spans="1:24" ht="15.6" x14ac:dyDescent="0.3">
      <c r="A11" s="120">
        <v>2</v>
      </c>
      <c r="B11" s="128" t="s">
        <v>437</v>
      </c>
      <c r="C11" s="128"/>
      <c r="D11" s="128"/>
      <c r="E11" s="128"/>
      <c r="F11" s="128"/>
      <c r="G11" s="128"/>
      <c r="H11" s="128"/>
      <c r="I11" s="128"/>
      <c r="J11" s="128"/>
      <c r="K11" s="128"/>
      <c r="L11" s="128"/>
      <c r="M11" s="121"/>
      <c r="N11" s="121"/>
      <c r="O11" s="118"/>
      <c r="P11" s="118"/>
      <c r="Q11" s="118"/>
      <c r="R11" s="118"/>
      <c r="S11" s="118"/>
      <c r="T11" s="118"/>
      <c r="U11" s="118"/>
      <c r="V11" s="118"/>
      <c r="W11" s="118"/>
      <c r="X11" s="118"/>
    </row>
    <row r="12" spans="1:24" ht="15.6" x14ac:dyDescent="0.3">
      <c r="A12" s="120">
        <v>3</v>
      </c>
      <c r="B12" s="128" t="s">
        <v>439</v>
      </c>
      <c r="C12" s="128"/>
      <c r="D12" s="128"/>
      <c r="E12" s="128"/>
      <c r="F12" s="128"/>
      <c r="G12" s="128"/>
      <c r="H12" s="128"/>
      <c r="I12" s="128"/>
      <c r="J12" s="128"/>
      <c r="K12" s="128"/>
      <c r="L12" s="128"/>
      <c r="M12" s="121"/>
      <c r="N12" s="121"/>
      <c r="O12" s="118"/>
      <c r="P12" s="118"/>
      <c r="Q12" s="118"/>
      <c r="R12" s="118"/>
      <c r="S12" s="118"/>
      <c r="T12" s="118"/>
      <c r="U12" s="118"/>
      <c r="V12" s="118"/>
      <c r="W12" s="118"/>
      <c r="X12" s="118"/>
    </row>
    <row r="13" spans="1:24" ht="15.6" x14ac:dyDescent="0.3">
      <c r="A13" s="119">
        <v>4</v>
      </c>
      <c r="B13" s="128" t="s">
        <v>440</v>
      </c>
      <c r="C13" s="128"/>
      <c r="D13" s="128"/>
      <c r="E13" s="128"/>
      <c r="F13" s="128"/>
      <c r="G13" s="128"/>
      <c r="H13" s="128"/>
      <c r="I13" s="128"/>
      <c r="J13" s="128"/>
      <c r="K13" s="128"/>
      <c r="L13" s="128"/>
      <c r="M13" s="121"/>
      <c r="N13" s="121"/>
      <c r="O13" s="118"/>
      <c r="P13" s="118"/>
      <c r="Q13" s="118"/>
      <c r="R13" s="118"/>
      <c r="S13" s="118"/>
      <c r="T13" s="118"/>
      <c r="U13" s="118"/>
      <c r="V13" s="118"/>
      <c r="W13" s="118"/>
      <c r="X13" s="118"/>
    </row>
    <row r="14" spans="1:24" ht="15.6" x14ac:dyDescent="0.3">
      <c r="A14" s="119">
        <v>5</v>
      </c>
      <c r="B14" s="128" t="s">
        <v>438</v>
      </c>
      <c r="C14" s="128"/>
      <c r="D14" s="128"/>
      <c r="E14" s="128"/>
      <c r="F14" s="128"/>
      <c r="G14" s="128"/>
      <c r="H14" s="128"/>
      <c r="I14" s="128"/>
      <c r="J14" s="128"/>
      <c r="K14" s="128"/>
      <c r="L14" s="128"/>
      <c r="M14" s="128"/>
      <c r="N14" s="128"/>
      <c r="O14" s="128"/>
      <c r="P14" s="128"/>
      <c r="Q14" s="118"/>
      <c r="R14" s="118"/>
      <c r="S14" s="118"/>
      <c r="T14" s="118"/>
      <c r="U14" s="118"/>
      <c r="V14" s="118"/>
      <c r="W14" s="118"/>
      <c r="X14" s="118"/>
    </row>
    <row r="15" spans="1:24" x14ac:dyDescent="0.3">
      <c r="A15" s="118"/>
      <c r="B15" s="118"/>
      <c r="C15" s="118"/>
      <c r="D15" s="118"/>
      <c r="E15" s="118"/>
      <c r="F15" s="118"/>
      <c r="G15" s="118"/>
      <c r="H15" s="118"/>
      <c r="I15" s="118"/>
      <c r="J15" s="118"/>
      <c r="K15" s="118"/>
      <c r="L15" s="118"/>
      <c r="M15" s="118"/>
      <c r="N15" s="118"/>
      <c r="O15" s="118"/>
      <c r="P15" s="118"/>
      <c r="Q15" s="118"/>
      <c r="R15" s="118"/>
      <c r="S15" s="118"/>
      <c r="T15" s="118"/>
      <c r="U15" s="118"/>
      <c r="V15" s="118"/>
      <c r="W15" s="118"/>
      <c r="X15" s="118"/>
    </row>
    <row r="16" spans="1:24" x14ac:dyDescent="0.3">
      <c r="A16" s="118"/>
      <c r="B16" s="118"/>
      <c r="C16" s="118"/>
      <c r="D16" s="118"/>
      <c r="E16" s="118"/>
      <c r="F16" s="118"/>
      <c r="G16" s="118"/>
      <c r="H16" s="118"/>
      <c r="I16" s="118"/>
      <c r="J16" s="118"/>
      <c r="K16" s="118"/>
      <c r="L16" s="118"/>
      <c r="M16" s="118"/>
      <c r="N16" s="118"/>
      <c r="O16" s="118"/>
      <c r="P16" s="118"/>
      <c r="Q16" s="118"/>
      <c r="R16" s="118"/>
      <c r="S16" s="118"/>
      <c r="T16" s="118"/>
      <c r="U16" s="118"/>
      <c r="V16" s="118"/>
      <c r="W16" s="118"/>
      <c r="X16" s="118"/>
    </row>
    <row r="17" spans="1:24" ht="18" x14ac:dyDescent="0.35">
      <c r="A17" s="127" t="s">
        <v>442</v>
      </c>
      <c r="B17" s="127"/>
      <c r="C17" s="118"/>
      <c r="D17" s="118"/>
      <c r="E17" s="118"/>
      <c r="F17" s="118"/>
      <c r="G17" s="118"/>
      <c r="H17" s="118"/>
      <c r="I17" s="118"/>
      <c r="J17" s="118"/>
      <c r="K17" s="118"/>
      <c r="L17" s="118"/>
      <c r="M17" s="118"/>
      <c r="N17" s="118"/>
      <c r="O17" s="118"/>
      <c r="P17" s="118"/>
      <c r="Q17" s="118"/>
      <c r="R17" s="118"/>
      <c r="S17" s="118"/>
      <c r="T17" s="118"/>
      <c r="U17" s="118"/>
      <c r="V17" s="118"/>
      <c r="W17" s="118"/>
      <c r="X17" s="118"/>
    </row>
    <row r="18" spans="1:24" x14ac:dyDescent="0.3">
      <c r="A18" s="118"/>
      <c r="B18" s="118"/>
      <c r="C18" s="118"/>
      <c r="D18" s="118"/>
      <c r="E18" s="118"/>
      <c r="F18" s="118"/>
      <c r="G18" s="118"/>
      <c r="H18" s="118"/>
      <c r="I18" s="118"/>
      <c r="J18" s="118"/>
      <c r="K18" s="118"/>
      <c r="L18" s="118"/>
      <c r="M18" s="118"/>
      <c r="N18" s="118"/>
      <c r="O18" s="118"/>
      <c r="P18" s="118"/>
      <c r="Q18" s="118"/>
      <c r="R18" s="118"/>
      <c r="S18" s="118"/>
      <c r="T18" s="118"/>
      <c r="U18" s="118"/>
      <c r="V18" s="118"/>
      <c r="W18" s="118"/>
      <c r="X18" s="118"/>
    </row>
    <row r="19" spans="1:24" ht="15.6" x14ac:dyDescent="0.3">
      <c r="A19" s="122">
        <v>1</v>
      </c>
      <c r="B19" s="121" t="s">
        <v>443</v>
      </c>
      <c r="C19" s="121"/>
      <c r="D19" s="121"/>
      <c r="E19" s="121"/>
      <c r="F19" s="121"/>
      <c r="G19" s="121"/>
      <c r="H19" s="121"/>
      <c r="I19" s="121"/>
      <c r="J19" s="121"/>
      <c r="K19" s="121"/>
      <c r="L19" s="121"/>
      <c r="M19" s="121"/>
      <c r="N19" s="118"/>
      <c r="O19" s="118"/>
      <c r="P19" s="118"/>
      <c r="Q19" s="118"/>
      <c r="R19" s="118"/>
      <c r="S19" s="118"/>
      <c r="T19" s="118"/>
      <c r="U19" s="118"/>
      <c r="V19" s="118"/>
      <c r="W19" s="118"/>
      <c r="X19" s="118"/>
    </row>
    <row r="20" spans="1:24" ht="15.6" x14ac:dyDescent="0.3">
      <c r="A20" s="122">
        <v>2</v>
      </c>
      <c r="B20" s="121" t="s">
        <v>444</v>
      </c>
      <c r="C20" s="121"/>
      <c r="D20" s="121"/>
      <c r="E20" s="121"/>
      <c r="F20" s="121"/>
      <c r="G20" s="121"/>
      <c r="H20" s="121"/>
      <c r="I20" s="121"/>
      <c r="J20" s="121"/>
      <c r="K20" s="121"/>
      <c r="L20" s="121"/>
      <c r="M20" s="121"/>
      <c r="N20" s="118"/>
      <c r="O20" s="118"/>
      <c r="P20" s="118"/>
      <c r="Q20" s="118"/>
      <c r="R20" s="118"/>
      <c r="S20" s="118"/>
      <c r="T20" s="118"/>
      <c r="U20" s="118"/>
      <c r="V20" s="118"/>
      <c r="W20" s="118"/>
      <c r="X20" s="118"/>
    </row>
    <row r="21" spans="1:24" ht="15.6" x14ac:dyDescent="0.3">
      <c r="A21" s="122">
        <v>3</v>
      </c>
      <c r="B21" s="121" t="s">
        <v>445</v>
      </c>
      <c r="C21" s="121"/>
      <c r="D21" s="121"/>
      <c r="E21" s="121"/>
      <c r="F21" s="121"/>
      <c r="G21" s="121"/>
      <c r="H21" s="121"/>
      <c r="I21" s="121"/>
      <c r="J21" s="121"/>
      <c r="K21" s="121"/>
      <c r="L21" s="121"/>
      <c r="M21" s="121"/>
      <c r="N21" s="118"/>
      <c r="O21" s="118"/>
      <c r="P21" s="118"/>
      <c r="Q21" s="118"/>
      <c r="R21" s="118"/>
      <c r="S21" s="118"/>
      <c r="T21" s="118"/>
      <c r="U21" s="118"/>
      <c r="V21" s="118"/>
      <c r="W21" s="118"/>
      <c r="X21" s="118"/>
    </row>
    <row r="22" spans="1:24" ht="15.6" x14ac:dyDescent="0.3">
      <c r="A22" s="122">
        <v>4</v>
      </c>
      <c r="B22" s="121" t="s">
        <v>446</v>
      </c>
      <c r="C22" s="121"/>
      <c r="D22" s="121"/>
      <c r="E22" s="121"/>
      <c r="F22" s="121"/>
      <c r="G22" s="121"/>
      <c r="H22" s="121"/>
      <c r="I22" s="121"/>
      <c r="J22" s="121"/>
      <c r="K22" s="121"/>
      <c r="L22" s="121"/>
      <c r="M22" s="121"/>
      <c r="N22" s="118"/>
      <c r="O22" s="118"/>
      <c r="P22" s="118"/>
      <c r="Q22" s="118"/>
      <c r="R22" s="118"/>
      <c r="S22" s="118"/>
      <c r="T22" s="118"/>
      <c r="U22" s="118"/>
      <c r="V22" s="118"/>
      <c r="W22" s="118"/>
      <c r="X22" s="118"/>
    </row>
    <row r="23" spans="1:24" x14ac:dyDescent="0.3">
      <c r="A23" s="123" t="s">
        <v>447</v>
      </c>
      <c r="B23" s="121" t="s">
        <v>448</v>
      </c>
      <c r="C23" s="121"/>
      <c r="D23" s="121"/>
      <c r="E23" s="121"/>
      <c r="F23" s="121"/>
      <c r="G23" s="121"/>
      <c r="H23" s="121"/>
      <c r="I23" s="121"/>
      <c r="J23" s="121"/>
      <c r="K23" s="121"/>
      <c r="L23" s="121"/>
      <c r="M23" s="121"/>
      <c r="N23" s="118"/>
      <c r="O23" s="118"/>
      <c r="P23" s="118"/>
      <c r="Q23" s="118"/>
      <c r="R23" s="118"/>
      <c r="S23" s="118"/>
      <c r="T23" s="118"/>
      <c r="U23" s="118"/>
      <c r="V23" s="118"/>
      <c r="W23" s="118"/>
      <c r="X23" s="118"/>
    </row>
    <row r="24" spans="1:24" ht="15.6" x14ac:dyDescent="0.3">
      <c r="A24" s="121"/>
      <c r="B24" s="121"/>
      <c r="C24" s="121"/>
      <c r="D24" s="121"/>
      <c r="E24" s="121"/>
      <c r="F24" s="121"/>
      <c r="G24" s="121"/>
      <c r="H24" s="121"/>
      <c r="I24" s="121"/>
      <c r="J24" s="121"/>
      <c r="K24" s="121"/>
      <c r="L24" s="121"/>
      <c r="M24" s="121"/>
      <c r="N24" s="118"/>
      <c r="O24" s="118"/>
      <c r="P24" s="118"/>
      <c r="Q24" s="118"/>
      <c r="R24" s="118"/>
      <c r="S24" s="118"/>
      <c r="T24" s="118"/>
      <c r="U24" s="118"/>
      <c r="V24" s="118"/>
      <c r="W24" s="118"/>
      <c r="X24" s="118"/>
    </row>
    <row r="25" spans="1:24" x14ac:dyDescent="0.3">
      <c r="A25" s="118"/>
      <c r="B25" s="118"/>
      <c r="C25" s="118"/>
      <c r="D25" s="118"/>
      <c r="E25" s="118"/>
      <c r="F25" s="118"/>
      <c r="G25" s="118"/>
      <c r="H25" s="118"/>
      <c r="I25" s="118"/>
      <c r="J25" s="118"/>
      <c r="K25" s="118"/>
      <c r="L25" s="118"/>
      <c r="M25" s="118"/>
      <c r="N25" s="118"/>
      <c r="O25" s="118"/>
      <c r="P25" s="118"/>
      <c r="Q25" s="118"/>
      <c r="R25" s="118"/>
      <c r="S25" s="118"/>
      <c r="T25" s="118"/>
      <c r="U25" s="118"/>
      <c r="V25" s="118"/>
      <c r="W25" s="118"/>
      <c r="X25" s="118"/>
    </row>
    <row r="26" spans="1:24" x14ac:dyDescent="0.3">
      <c r="A26" s="118"/>
      <c r="B26" s="118"/>
      <c r="C26" s="118"/>
      <c r="D26" s="118"/>
      <c r="E26" s="118"/>
      <c r="F26" s="118"/>
      <c r="G26" s="118"/>
      <c r="H26" s="118"/>
      <c r="I26" s="118"/>
      <c r="J26" s="118"/>
      <c r="K26" s="118"/>
      <c r="L26" s="118"/>
      <c r="M26" s="118"/>
      <c r="N26" s="118"/>
      <c r="O26" s="118"/>
      <c r="P26" s="118"/>
      <c r="Q26" s="118"/>
      <c r="R26" s="118"/>
      <c r="S26" s="118"/>
      <c r="T26" s="118"/>
      <c r="U26" s="118"/>
      <c r="V26" s="118"/>
      <c r="W26" s="118"/>
      <c r="X26" s="118"/>
    </row>
    <row r="27" spans="1:24" x14ac:dyDescent="0.3">
      <c r="A27" s="118"/>
      <c r="B27" s="118"/>
      <c r="C27" s="118"/>
      <c r="D27" s="118"/>
      <c r="E27" s="118"/>
      <c r="F27" s="118"/>
      <c r="G27" s="118"/>
      <c r="H27" s="118"/>
      <c r="I27" s="118"/>
      <c r="J27" s="118"/>
      <c r="K27" s="118"/>
      <c r="L27" s="118"/>
      <c r="M27" s="118"/>
      <c r="N27" s="118"/>
      <c r="O27" s="118"/>
      <c r="P27" s="118"/>
      <c r="Q27" s="118"/>
      <c r="R27" s="118"/>
      <c r="S27" s="118"/>
      <c r="T27" s="118"/>
      <c r="U27" s="118"/>
      <c r="V27" s="118"/>
      <c r="W27" s="118"/>
      <c r="X27" s="118"/>
    </row>
    <row r="28" spans="1:24" x14ac:dyDescent="0.3">
      <c r="A28" s="118"/>
      <c r="B28" s="118"/>
      <c r="C28" s="118"/>
      <c r="D28" s="118"/>
      <c r="E28" s="118"/>
      <c r="F28" s="118"/>
      <c r="G28" s="118"/>
      <c r="H28" s="118"/>
      <c r="I28" s="118"/>
      <c r="J28" s="118"/>
      <c r="K28" s="118"/>
      <c r="L28" s="118"/>
      <c r="M28" s="118"/>
      <c r="N28" s="118"/>
      <c r="O28" s="118"/>
      <c r="P28" s="118"/>
      <c r="Q28" s="118"/>
      <c r="R28" s="118"/>
      <c r="S28" s="118"/>
      <c r="T28" s="118"/>
      <c r="U28" s="118"/>
      <c r="V28" s="118"/>
      <c r="W28" s="118"/>
      <c r="X28" s="118"/>
    </row>
    <row r="29" spans="1:24" x14ac:dyDescent="0.3">
      <c r="A29" s="118"/>
      <c r="B29" s="118"/>
      <c r="C29" s="118"/>
      <c r="D29" s="118"/>
      <c r="E29" s="118"/>
      <c r="F29" s="118"/>
      <c r="G29" s="118"/>
      <c r="H29" s="118"/>
      <c r="I29" s="118"/>
      <c r="J29" s="118"/>
      <c r="K29" s="118"/>
      <c r="L29" s="118"/>
      <c r="M29" s="118"/>
      <c r="N29" s="118"/>
      <c r="O29" s="118"/>
      <c r="P29" s="118"/>
      <c r="Q29" s="118"/>
      <c r="R29" s="118"/>
      <c r="S29" s="118"/>
      <c r="T29" s="118"/>
      <c r="U29" s="118"/>
      <c r="V29" s="118"/>
      <c r="W29" s="118"/>
      <c r="X29" s="118"/>
    </row>
    <row r="30" spans="1:24" x14ac:dyDescent="0.3">
      <c r="A30" s="118"/>
      <c r="B30" s="118"/>
      <c r="C30" s="118"/>
      <c r="D30" s="118"/>
      <c r="E30" s="118"/>
      <c r="F30" s="118"/>
      <c r="G30" s="118"/>
      <c r="H30" s="118"/>
      <c r="I30" s="118"/>
      <c r="J30" s="118"/>
      <c r="K30" s="118"/>
      <c r="L30" s="118"/>
      <c r="M30" s="118"/>
      <c r="N30" s="118"/>
      <c r="O30" s="118"/>
      <c r="P30" s="118"/>
      <c r="Q30" s="118"/>
      <c r="R30" s="118"/>
      <c r="S30" s="118"/>
      <c r="T30" s="118"/>
      <c r="U30" s="118"/>
      <c r="V30" s="118"/>
      <c r="W30" s="118"/>
      <c r="X30" s="118"/>
    </row>
    <row r="31" spans="1:24" x14ac:dyDescent="0.3">
      <c r="A31" s="118"/>
      <c r="B31" s="118"/>
      <c r="C31" s="118"/>
      <c r="D31" s="118"/>
      <c r="E31" s="118"/>
      <c r="F31" s="118"/>
      <c r="G31" s="118"/>
      <c r="H31" s="118"/>
      <c r="I31" s="118"/>
      <c r="J31" s="118"/>
      <c r="K31" s="118"/>
      <c r="L31" s="118"/>
      <c r="M31" s="118"/>
      <c r="N31" s="118"/>
      <c r="O31" s="118"/>
      <c r="P31" s="118"/>
      <c r="Q31" s="118"/>
      <c r="R31" s="118"/>
      <c r="S31" s="118"/>
      <c r="T31" s="118"/>
      <c r="U31" s="118"/>
      <c r="V31" s="118"/>
      <c r="W31" s="118"/>
      <c r="X31" s="118"/>
    </row>
  </sheetData>
  <mergeCells count="7">
    <mergeCell ref="A17:B17"/>
    <mergeCell ref="B11:L11"/>
    <mergeCell ref="B12:L12"/>
    <mergeCell ref="B13:L13"/>
    <mergeCell ref="B7:N10"/>
    <mergeCell ref="B14:P14"/>
    <mergeCell ref="A6:B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87"/>
  <sheetViews>
    <sheetView zoomScale="66" zoomScaleNormal="100" workbookViewId="0">
      <selection activeCell="C18" sqref="C18"/>
    </sheetView>
  </sheetViews>
  <sheetFormatPr defaultRowHeight="14.4" x14ac:dyDescent="0.3"/>
  <cols>
    <col min="1" max="1" width="8.6640625" customWidth="1"/>
    <col min="2" max="2" width="24.33203125" customWidth="1"/>
    <col min="3" max="3" width="17.44140625" customWidth="1"/>
    <col min="4" max="4" width="11.88671875" customWidth="1"/>
    <col min="5" max="5" width="22.6640625" customWidth="1"/>
    <col min="6" max="7" width="13.6640625" customWidth="1"/>
    <col min="8" max="10" width="6.6640625" customWidth="1"/>
    <col min="11" max="11" width="16.5546875" customWidth="1"/>
    <col min="12" max="12" width="13.88671875" customWidth="1"/>
    <col min="13" max="13" width="13.6640625" customWidth="1"/>
    <col min="14" max="15" width="6.6640625" customWidth="1"/>
    <col min="16" max="21" width="8.6640625" customWidth="1"/>
  </cols>
  <sheetData>
    <row r="1" spans="1:33" ht="15" thickBot="1" x14ac:dyDescent="0.35"/>
    <row r="2" spans="1:33" ht="18.600000000000001" thickBot="1" x14ac:dyDescent="0.4">
      <c r="C2" s="131" t="s">
        <v>0</v>
      </c>
      <c r="D2" s="132"/>
      <c r="E2" s="132"/>
      <c r="F2" s="132"/>
      <c r="G2" s="132"/>
      <c r="H2" s="132"/>
      <c r="I2" s="132"/>
      <c r="J2" s="132"/>
      <c r="K2" s="133"/>
    </row>
    <row r="3" spans="1:33" ht="15" thickBot="1" x14ac:dyDescent="0.35"/>
    <row r="4" spans="1:33" x14ac:dyDescent="0.3">
      <c r="G4" s="136" t="s">
        <v>233</v>
      </c>
      <c r="H4" s="137"/>
      <c r="I4" s="137"/>
      <c r="J4" s="137"/>
      <c r="K4" s="138"/>
    </row>
    <row r="5" spans="1:33" ht="15" thickBot="1" x14ac:dyDescent="0.35">
      <c r="G5" s="139"/>
      <c r="H5" s="140"/>
      <c r="I5" s="140"/>
      <c r="J5" s="140"/>
      <c r="K5" s="141"/>
      <c r="L5" s="10"/>
    </row>
    <row r="6" spans="1:33" x14ac:dyDescent="0.3">
      <c r="J6" s="10"/>
      <c r="K6" s="10"/>
      <c r="L6" s="10"/>
    </row>
    <row r="7" spans="1:33" x14ac:dyDescent="0.3">
      <c r="A7" s="134" t="s">
        <v>13</v>
      </c>
      <c r="B7" s="1" t="s">
        <v>1</v>
      </c>
      <c r="C7" s="6" t="s">
        <v>37</v>
      </c>
      <c r="E7" s="1" t="s">
        <v>92</v>
      </c>
      <c r="F7" s="5">
        <f>VLOOKUP(C7,K8:L87,2,)</f>
        <v>39</v>
      </c>
      <c r="G7" s="12" t="s">
        <v>93</v>
      </c>
      <c r="J7" s="89"/>
      <c r="K7" s="111" t="s">
        <v>1</v>
      </c>
      <c r="L7" s="111" t="s">
        <v>164</v>
      </c>
      <c r="M7" s="89"/>
      <c r="N7" s="89"/>
      <c r="O7" s="89"/>
      <c r="P7" s="89"/>
      <c r="Q7" s="89"/>
      <c r="R7" s="89"/>
      <c r="S7" s="89"/>
      <c r="T7" s="89"/>
      <c r="U7" s="89"/>
      <c r="V7" s="89"/>
      <c r="W7" s="89"/>
      <c r="X7" s="89"/>
      <c r="Y7" s="89"/>
      <c r="Z7" s="89"/>
      <c r="AA7" s="89"/>
      <c r="AB7" s="89"/>
      <c r="AC7" s="89"/>
      <c r="AD7" s="89"/>
      <c r="AE7" s="89"/>
      <c r="AF7" s="89"/>
      <c r="AG7" s="89"/>
    </row>
    <row r="8" spans="1:33" x14ac:dyDescent="0.3">
      <c r="A8" s="134"/>
      <c r="B8" s="1" t="s">
        <v>2</v>
      </c>
      <c r="C8" s="6">
        <v>20</v>
      </c>
      <c r="D8" s="11" t="s">
        <v>94</v>
      </c>
      <c r="G8" s="11"/>
      <c r="J8" s="89"/>
      <c r="K8" s="105" t="s">
        <v>15</v>
      </c>
      <c r="L8" s="105">
        <v>47</v>
      </c>
      <c r="M8" s="89"/>
      <c r="N8" s="89"/>
      <c r="O8" s="89"/>
      <c r="P8" s="89"/>
      <c r="Q8" s="89"/>
      <c r="R8" s="89"/>
      <c r="S8" s="89"/>
      <c r="T8" s="89"/>
      <c r="U8" s="89"/>
      <c r="V8" s="89"/>
      <c r="W8" s="89"/>
      <c r="X8" s="89"/>
      <c r="Y8" s="89"/>
      <c r="Z8" s="89"/>
      <c r="AA8" s="89"/>
      <c r="AB8" s="89"/>
      <c r="AC8" s="89"/>
      <c r="AD8" s="89"/>
      <c r="AE8" s="89"/>
      <c r="AF8" s="89"/>
      <c r="AG8" s="89"/>
    </row>
    <row r="9" spans="1:33" x14ac:dyDescent="0.3">
      <c r="A9" s="134"/>
      <c r="B9" s="1" t="s">
        <v>3</v>
      </c>
      <c r="C9" s="6">
        <v>5</v>
      </c>
      <c r="D9" s="11" t="s">
        <v>94</v>
      </c>
      <c r="G9" s="11"/>
      <c r="J9" s="89"/>
      <c r="K9" s="105" t="s">
        <v>16</v>
      </c>
      <c r="L9" s="105">
        <v>39</v>
      </c>
      <c r="M9" s="89"/>
      <c r="N9" s="89"/>
      <c r="O9" s="89"/>
      <c r="P9" s="89"/>
      <c r="Q9" s="89"/>
      <c r="R9" s="89"/>
      <c r="S9" s="89"/>
      <c r="T9" s="89"/>
      <c r="U9" s="89"/>
      <c r="V9" s="89"/>
      <c r="W9" s="89"/>
      <c r="X9" s="89"/>
      <c r="Y9" s="89"/>
      <c r="Z9" s="89"/>
      <c r="AA9" s="89"/>
      <c r="AB9" s="89"/>
      <c r="AC9" s="89"/>
      <c r="AD9" s="89"/>
      <c r="AE9" s="89"/>
      <c r="AF9" s="89"/>
      <c r="AG9" s="89"/>
    </row>
    <row r="10" spans="1:33" x14ac:dyDescent="0.3">
      <c r="A10" s="134"/>
      <c r="B10" s="1" t="s">
        <v>4</v>
      </c>
      <c r="C10" s="6">
        <v>6</v>
      </c>
      <c r="D10" s="11" t="s">
        <v>94</v>
      </c>
      <c r="G10" s="11"/>
      <c r="J10" s="89"/>
      <c r="K10" s="105" t="s">
        <v>17</v>
      </c>
      <c r="L10" s="105">
        <v>47</v>
      </c>
      <c r="M10" s="89"/>
      <c r="N10" s="89"/>
      <c r="O10" s="89"/>
      <c r="P10" s="89"/>
      <c r="Q10" s="89"/>
      <c r="R10" s="89"/>
      <c r="S10" s="89"/>
      <c r="T10" s="89"/>
      <c r="U10" s="89"/>
      <c r="V10" s="89"/>
      <c r="W10" s="89"/>
      <c r="X10" s="89"/>
      <c r="Y10" s="89"/>
      <c r="Z10" s="89"/>
      <c r="AA10" s="89"/>
      <c r="AB10" s="89"/>
      <c r="AC10" s="89"/>
      <c r="AD10" s="89"/>
      <c r="AE10" s="89"/>
      <c r="AF10" s="89"/>
      <c r="AG10" s="89"/>
    </row>
    <row r="11" spans="1:33" ht="45" customHeight="1" x14ac:dyDescent="0.3">
      <c r="A11" s="134"/>
      <c r="B11" s="2" t="s">
        <v>5</v>
      </c>
      <c r="C11" s="6">
        <v>10</v>
      </c>
      <c r="D11" s="4" t="s">
        <v>11</v>
      </c>
      <c r="E11" s="3" t="s">
        <v>12</v>
      </c>
      <c r="F11" s="6"/>
      <c r="G11" s="11"/>
      <c r="J11" s="89"/>
      <c r="K11" s="105" t="s">
        <v>18</v>
      </c>
      <c r="L11" s="105">
        <v>47</v>
      </c>
      <c r="M11" s="89"/>
      <c r="N11" s="89"/>
      <c r="O11" s="89"/>
      <c r="P11" s="89"/>
      <c r="Q11" s="89"/>
      <c r="R11" s="89"/>
      <c r="S11" s="89"/>
      <c r="T11" s="89"/>
      <c r="U11" s="89"/>
      <c r="V11" s="89"/>
      <c r="W11" s="89"/>
      <c r="X11" s="89"/>
      <c r="Y11" s="89"/>
      <c r="Z11" s="89"/>
      <c r="AA11" s="89"/>
      <c r="AB11" s="89"/>
      <c r="AC11" s="89"/>
      <c r="AD11" s="89"/>
      <c r="AE11" s="89"/>
      <c r="AF11" s="89"/>
      <c r="AG11" s="89"/>
    </row>
    <row r="12" spans="1:33" ht="14.4" customHeight="1" x14ac:dyDescent="0.3">
      <c r="A12" s="134"/>
      <c r="B12" s="2" t="s">
        <v>105</v>
      </c>
      <c r="C12" s="6" t="s">
        <v>123</v>
      </c>
      <c r="D12" s="4" t="s">
        <v>99</v>
      </c>
      <c r="E12" s="3" t="s">
        <v>97</v>
      </c>
      <c r="F12" s="6">
        <v>150</v>
      </c>
      <c r="G12" s="12" t="s">
        <v>98</v>
      </c>
      <c r="J12" s="89"/>
      <c r="K12" s="105" t="s">
        <v>19</v>
      </c>
      <c r="L12" s="105">
        <v>47</v>
      </c>
      <c r="M12" s="89"/>
      <c r="N12" s="89"/>
      <c r="O12" s="89"/>
      <c r="P12" s="89"/>
      <c r="Q12" s="89"/>
      <c r="R12" s="89"/>
      <c r="S12" s="89"/>
      <c r="T12" s="89"/>
      <c r="U12" s="89"/>
      <c r="V12" s="89"/>
      <c r="W12" s="89"/>
      <c r="X12" s="89"/>
      <c r="Y12" s="89"/>
      <c r="Z12" s="89"/>
      <c r="AA12" s="89"/>
      <c r="AB12" s="89"/>
      <c r="AC12" s="89"/>
      <c r="AD12" s="89"/>
      <c r="AE12" s="89"/>
      <c r="AF12" s="89"/>
      <c r="AG12" s="89"/>
    </row>
    <row r="13" spans="1:33" ht="14.4" customHeight="1" x14ac:dyDescent="0.3">
      <c r="A13" s="134"/>
      <c r="B13" s="1" t="s">
        <v>6</v>
      </c>
      <c r="C13" s="6">
        <v>20</v>
      </c>
      <c r="D13" s="11" t="s">
        <v>94</v>
      </c>
      <c r="J13" s="89"/>
      <c r="K13" s="105" t="s">
        <v>20</v>
      </c>
      <c r="L13" s="105">
        <v>47</v>
      </c>
      <c r="M13" s="89"/>
      <c r="N13" s="89"/>
      <c r="O13" s="89"/>
      <c r="P13" s="89"/>
      <c r="Q13" s="89"/>
      <c r="R13" s="89"/>
      <c r="S13" s="89"/>
      <c r="T13" s="89"/>
      <c r="U13" s="89"/>
      <c r="V13" s="89"/>
      <c r="W13" s="89"/>
      <c r="X13" s="89"/>
      <c r="Y13" s="89"/>
      <c r="Z13" s="89"/>
      <c r="AA13" s="89"/>
      <c r="AB13" s="89"/>
      <c r="AC13" s="89"/>
      <c r="AD13" s="89"/>
      <c r="AE13" s="89"/>
      <c r="AF13" s="89"/>
      <c r="AG13" s="89"/>
    </row>
    <row r="14" spans="1:33" ht="14.4" customHeight="1" x14ac:dyDescent="0.3">
      <c r="A14" s="134"/>
      <c r="B14" s="1" t="s">
        <v>106</v>
      </c>
      <c r="C14" s="6">
        <v>130</v>
      </c>
      <c r="D14" s="11" t="s">
        <v>98</v>
      </c>
      <c r="E14" s="7" t="s">
        <v>108</v>
      </c>
      <c r="J14" s="89"/>
      <c r="K14" s="105" t="s">
        <v>21</v>
      </c>
      <c r="L14" s="105">
        <v>39</v>
      </c>
      <c r="M14" s="89"/>
      <c r="N14" s="89"/>
      <c r="O14" s="89"/>
      <c r="P14" s="89"/>
      <c r="Q14" s="89"/>
      <c r="R14" s="89"/>
      <c r="S14" s="89"/>
      <c r="T14" s="89"/>
      <c r="U14" s="89"/>
      <c r="V14" s="88" t="s">
        <v>101</v>
      </c>
      <c r="W14" s="88" t="s">
        <v>169</v>
      </c>
      <c r="X14" s="88" t="s">
        <v>170</v>
      </c>
      <c r="Y14" s="88" t="s">
        <v>171</v>
      </c>
      <c r="Z14" s="88" t="s">
        <v>172</v>
      </c>
      <c r="AA14" s="89"/>
      <c r="AB14" s="89"/>
      <c r="AC14" s="89"/>
      <c r="AD14" s="89"/>
      <c r="AE14" s="89"/>
      <c r="AF14" s="89"/>
      <c r="AG14" s="89"/>
    </row>
    <row r="15" spans="1:33" ht="14.4" customHeight="1" x14ac:dyDescent="0.3">
      <c r="A15" s="134"/>
      <c r="B15" s="1" t="s">
        <v>107</v>
      </c>
      <c r="C15" s="6">
        <v>12</v>
      </c>
      <c r="D15" s="11" t="s">
        <v>98</v>
      </c>
      <c r="E15" s="7" t="s">
        <v>109</v>
      </c>
      <c r="J15" s="89"/>
      <c r="K15" s="105" t="s">
        <v>22</v>
      </c>
      <c r="L15" s="105">
        <v>47</v>
      </c>
      <c r="M15" s="89"/>
      <c r="N15" s="89"/>
      <c r="O15" s="89"/>
      <c r="P15" s="89"/>
      <c r="Q15" s="89"/>
      <c r="R15" s="89"/>
      <c r="S15" s="89"/>
      <c r="T15" s="89"/>
      <c r="U15" s="89"/>
      <c r="V15" s="88"/>
      <c r="W15" s="88"/>
      <c r="X15" s="88"/>
      <c r="Y15" s="88"/>
      <c r="Z15" s="88"/>
      <c r="AA15" s="89"/>
      <c r="AB15" s="89"/>
      <c r="AC15" s="89"/>
      <c r="AD15" s="89"/>
      <c r="AE15" s="89"/>
      <c r="AF15" s="89"/>
      <c r="AG15" s="89"/>
    </row>
    <row r="16" spans="1:33" x14ac:dyDescent="0.3">
      <c r="A16" s="134"/>
      <c r="B16" s="1" t="s">
        <v>14</v>
      </c>
      <c r="C16" s="6">
        <v>10</v>
      </c>
      <c r="D16" s="11" t="s">
        <v>95</v>
      </c>
      <c r="J16" s="89"/>
      <c r="K16" s="105" t="s">
        <v>23</v>
      </c>
      <c r="L16" s="105">
        <v>33</v>
      </c>
      <c r="M16" s="89"/>
      <c r="N16" s="89"/>
      <c r="O16" s="89"/>
      <c r="P16" s="89"/>
      <c r="Q16" s="89"/>
      <c r="R16" s="89"/>
      <c r="S16" s="89"/>
      <c r="T16" s="89"/>
      <c r="U16" s="89"/>
      <c r="V16" s="88">
        <v>0</v>
      </c>
      <c r="W16" s="88">
        <v>-0.8</v>
      </c>
      <c r="X16" s="88">
        <v>-0.4</v>
      </c>
      <c r="Y16" s="88">
        <v>-0.8</v>
      </c>
      <c r="Z16" s="88">
        <v>-0.4</v>
      </c>
      <c r="AA16" s="89"/>
      <c r="AB16" s="89"/>
      <c r="AC16" s="89"/>
      <c r="AD16" s="89"/>
      <c r="AE16" s="89"/>
      <c r="AF16" s="89"/>
      <c r="AG16" s="89"/>
    </row>
    <row r="17" spans="1:33" x14ac:dyDescent="0.3">
      <c r="A17" s="134"/>
      <c r="B17" s="1" t="s">
        <v>7</v>
      </c>
      <c r="C17" s="6">
        <v>25</v>
      </c>
      <c r="D17" s="11" t="s">
        <v>96</v>
      </c>
      <c r="J17" s="89"/>
      <c r="K17" s="105" t="s">
        <v>24</v>
      </c>
      <c r="L17" s="105">
        <v>47</v>
      </c>
      <c r="M17" s="89"/>
      <c r="N17" s="89"/>
      <c r="O17" s="89"/>
      <c r="P17" s="89"/>
      <c r="Q17" s="89"/>
      <c r="R17" s="89"/>
      <c r="S17" s="89"/>
      <c r="T17" s="89"/>
      <c r="U17" s="89"/>
      <c r="V17" s="88">
        <v>5</v>
      </c>
      <c r="W17" s="88">
        <v>-0.9</v>
      </c>
      <c r="X17" s="88">
        <v>-0.4</v>
      </c>
      <c r="Y17" s="88">
        <v>-0.8</v>
      </c>
      <c r="Z17" s="88">
        <v>-0.4</v>
      </c>
      <c r="AA17" s="89"/>
      <c r="AB17" s="89"/>
      <c r="AC17" s="89"/>
      <c r="AD17" s="89"/>
      <c r="AE17" s="89"/>
      <c r="AF17" s="89"/>
      <c r="AG17" s="89"/>
    </row>
    <row r="18" spans="1:33" x14ac:dyDescent="0.3">
      <c r="A18" s="134"/>
      <c r="B18" s="1" t="s">
        <v>8</v>
      </c>
      <c r="C18" s="6" t="s">
        <v>154</v>
      </c>
      <c r="J18" s="89"/>
      <c r="K18" s="105" t="s">
        <v>25</v>
      </c>
      <c r="L18" s="105">
        <v>47</v>
      </c>
      <c r="M18" s="89" t="s">
        <v>100</v>
      </c>
      <c r="N18" s="89">
        <f>IF(C11,C11/2,(F11/2)-1)</f>
        <v>5</v>
      </c>
      <c r="O18" s="89"/>
      <c r="P18" s="89"/>
      <c r="Q18" s="89"/>
      <c r="R18" s="89"/>
      <c r="S18" s="89"/>
      <c r="T18" s="88" t="s">
        <v>153</v>
      </c>
      <c r="U18" s="88">
        <f>N41</f>
        <v>0.92</v>
      </c>
      <c r="V18" s="88">
        <v>10</v>
      </c>
      <c r="W18" s="88">
        <v>-1.2</v>
      </c>
      <c r="X18" s="88">
        <v>-0.4</v>
      </c>
      <c r="Y18" s="88">
        <v>-0.8</v>
      </c>
      <c r="Z18" s="88">
        <v>-0.6</v>
      </c>
      <c r="AA18" s="89"/>
      <c r="AB18" s="89"/>
      <c r="AC18" s="89"/>
      <c r="AD18" s="89"/>
      <c r="AE18" s="89"/>
      <c r="AF18" s="89"/>
      <c r="AG18" s="89"/>
    </row>
    <row r="19" spans="1:33" x14ac:dyDescent="0.3">
      <c r="A19" s="134"/>
      <c r="B19" s="1" t="s">
        <v>9</v>
      </c>
      <c r="C19" s="6" t="s">
        <v>156</v>
      </c>
      <c r="J19" s="89"/>
      <c r="K19" s="105" t="s">
        <v>26</v>
      </c>
      <c r="L19" s="105">
        <v>47</v>
      </c>
      <c r="M19" s="89" t="s">
        <v>101</v>
      </c>
      <c r="N19" s="89">
        <f>(ATAN(2*C9/C8))</f>
        <v>0.46364760900080609</v>
      </c>
      <c r="O19" s="89">
        <f>N19*180</f>
        <v>83.456569620145103</v>
      </c>
      <c r="P19" s="89">
        <f>O19/PI()</f>
        <v>26.56505117707799</v>
      </c>
      <c r="Q19" s="89"/>
      <c r="R19" s="89"/>
      <c r="S19" s="89"/>
      <c r="T19" s="88" t="s">
        <v>160</v>
      </c>
      <c r="U19" s="88">
        <f>U64</f>
        <v>1.1200000000000001</v>
      </c>
      <c r="V19" s="88">
        <v>20</v>
      </c>
      <c r="W19" s="88">
        <v>-0.4</v>
      </c>
      <c r="X19" s="88">
        <v>-0.4</v>
      </c>
      <c r="Y19" s="88">
        <v>-0.7</v>
      </c>
      <c r="Z19" s="88">
        <v>-0.6</v>
      </c>
      <c r="AA19" s="89"/>
      <c r="AB19" s="89"/>
      <c r="AC19" s="89"/>
      <c r="AD19" s="89"/>
      <c r="AE19" s="89"/>
      <c r="AF19" s="89"/>
      <c r="AG19" s="89"/>
    </row>
    <row r="20" spans="1:33" x14ac:dyDescent="0.3">
      <c r="A20" s="134"/>
      <c r="B20" s="1" t="s">
        <v>10</v>
      </c>
      <c r="C20" s="6" t="s">
        <v>126</v>
      </c>
      <c r="J20" s="89"/>
      <c r="K20" s="105" t="s">
        <v>27</v>
      </c>
      <c r="L20" s="105">
        <v>39</v>
      </c>
      <c r="M20" s="89" t="s">
        <v>102</v>
      </c>
      <c r="N20" s="89">
        <f>POWER((C9*C9+(C8*C8)/4),(1/2))</f>
        <v>11.180339887498949</v>
      </c>
      <c r="O20" s="89"/>
      <c r="P20" s="89"/>
      <c r="Q20" s="89"/>
      <c r="R20" s="89"/>
      <c r="S20" s="89"/>
      <c r="T20" s="88" t="s">
        <v>161</v>
      </c>
      <c r="U20" s="88">
        <f>N80</f>
        <v>1</v>
      </c>
      <c r="V20" s="88">
        <v>30</v>
      </c>
      <c r="W20" s="88">
        <v>0</v>
      </c>
      <c r="X20" s="88">
        <v>-0.4</v>
      </c>
      <c r="Y20" s="88">
        <v>-0.7</v>
      </c>
      <c r="Z20" s="88">
        <v>-0.6</v>
      </c>
      <c r="AA20" s="89"/>
      <c r="AB20" s="108" t="s">
        <v>173</v>
      </c>
      <c r="AC20" s="108" t="s">
        <v>101</v>
      </c>
      <c r="AD20" s="89"/>
      <c r="AE20" s="89"/>
      <c r="AF20" s="89"/>
      <c r="AG20" s="89"/>
    </row>
    <row r="21" spans="1:33" x14ac:dyDescent="0.3">
      <c r="J21" s="89"/>
      <c r="K21" s="105" t="s">
        <v>28</v>
      </c>
      <c r="L21" s="105">
        <v>39</v>
      </c>
      <c r="M21" s="89" t="s">
        <v>103</v>
      </c>
      <c r="N21" s="89">
        <f>C8*C10/2</f>
        <v>60</v>
      </c>
      <c r="O21" s="89"/>
      <c r="P21" s="89"/>
      <c r="Q21" s="89"/>
      <c r="R21" s="89"/>
      <c r="S21" s="89"/>
      <c r="T21" s="89"/>
      <c r="U21" s="89"/>
      <c r="V21" s="88">
        <v>45</v>
      </c>
      <c r="W21" s="88">
        <v>0.3</v>
      </c>
      <c r="X21" s="88">
        <v>-0.5</v>
      </c>
      <c r="Y21" s="88">
        <v>-0.7</v>
      </c>
      <c r="Z21" s="88">
        <v>-0.6</v>
      </c>
      <c r="AA21" s="89"/>
      <c r="AB21" s="88">
        <f>C13/C8</f>
        <v>1</v>
      </c>
      <c r="AC21" s="88">
        <f>C26</f>
        <v>26.56505117707799</v>
      </c>
      <c r="AD21" s="89"/>
      <c r="AE21" s="89"/>
      <c r="AF21" s="89"/>
      <c r="AG21" s="89"/>
    </row>
    <row r="22" spans="1:33" x14ac:dyDescent="0.3">
      <c r="J22" s="89"/>
      <c r="K22" s="105" t="s">
        <v>29</v>
      </c>
      <c r="L22" s="105">
        <v>50</v>
      </c>
      <c r="M22" s="89" t="s">
        <v>104</v>
      </c>
      <c r="N22" s="89">
        <f>C10*N20</f>
        <v>67.082039324993701</v>
      </c>
      <c r="O22" s="89"/>
      <c r="P22" s="89"/>
      <c r="Q22" s="89"/>
      <c r="R22" s="89"/>
      <c r="S22" s="89"/>
      <c r="T22" s="89"/>
      <c r="U22" s="89"/>
      <c r="V22" s="88">
        <v>60</v>
      </c>
      <c r="W22" s="88">
        <v>0.7</v>
      </c>
      <c r="X22" s="88">
        <v>-0.6</v>
      </c>
      <c r="Y22" s="88">
        <v>-0.7</v>
      </c>
      <c r="Z22" s="88">
        <v>-0.6</v>
      </c>
      <c r="AA22" s="89"/>
      <c r="AB22" s="89"/>
      <c r="AC22" s="89"/>
      <c r="AD22" s="89"/>
      <c r="AE22" s="89"/>
      <c r="AF22" s="89"/>
      <c r="AG22" s="89"/>
    </row>
    <row r="23" spans="1:33" ht="15.6" x14ac:dyDescent="0.3">
      <c r="B23" s="8" t="s">
        <v>135</v>
      </c>
      <c r="J23" s="89"/>
      <c r="K23" s="105" t="s">
        <v>30</v>
      </c>
      <c r="L23" s="105">
        <v>50</v>
      </c>
      <c r="M23" s="89"/>
      <c r="N23" s="89"/>
      <c r="O23" s="89"/>
      <c r="P23" s="89"/>
      <c r="Q23" s="89"/>
      <c r="R23" s="89"/>
      <c r="S23" s="89"/>
      <c r="T23" s="89"/>
      <c r="U23" s="89"/>
      <c r="V23" s="88"/>
      <c r="W23" s="88"/>
      <c r="X23" s="88"/>
      <c r="Y23" s="88"/>
      <c r="Z23" s="88"/>
      <c r="AA23" s="89"/>
      <c r="AB23" s="88">
        <v>20</v>
      </c>
      <c r="AC23" s="88">
        <v>-0.7</v>
      </c>
      <c r="AD23" s="88">
        <v>-0.5</v>
      </c>
      <c r="AE23" s="88">
        <v>-0.8</v>
      </c>
      <c r="AF23" s="88">
        <v>-0.6</v>
      </c>
      <c r="AG23" s="89"/>
    </row>
    <row r="24" spans="1:33" x14ac:dyDescent="0.3">
      <c r="J24" s="89"/>
      <c r="K24" s="105" t="s">
        <v>31</v>
      </c>
      <c r="L24" s="105">
        <v>47</v>
      </c>
      <c r="M24" s="89" t="s">
        <v>119</v>
      </c>
      <c r="N24" s="89">
        <f>F12*N22</f>
        <v>10062.305898749055</v>
      </c>
      <c r="O24" s="89"/>
      <c r="P24" s="89"/>
      <c r="Q24" s="89"/>
      <c r="R24" s="89"/>
      <c r="S24" s="89"/>
      <c r="T24" s="89"/>
      <c r="U24" s="89"/>
      <c r="V24" s="88">
        <v>0</v>
      </c>
      <c r="W24" s="88">
        <v>-0.8</v>
      </c>
      <c r="X24" s="88">
        <v>-0.6</v>
      </c>
      <c r="Y24" s="88">
        <v>-1</v>
      </c>
      <c r="Z24" s="88">
        <v>-0.6</v>
      </c>
      <c r="AA24" s="89"/>
      <c r="AB24" s="88">
        <f>AC21</f>
        <v>26.56505117707799</v>
      </c>
      <c r="AC24" s="88">
        <f>AC23+((AB24-AB23)*(AC25-AC23)/(AB25-AB23))</f>
        <v>-0.37174744114610048</v>
      </c>
      <c r="AD24" s="88">
        <f>AD23+((AB24-AB23)*(AD25-AD23)/(AB25-AB23))</f>
        <v>-0.5</v>
      </c>
      <c r="AE24" s="88">
        <f>AE23+((AB24-AB23)*(AE25-AE23)/(AB25-AB23))</f>
        <v>-0.8</v>
      </c>
      <c r="AF24" s="88">
        <f>AF23+((AB24-AB23)*(AF25-AF23)/(AB25-AB23))</f>
        <v>-0.73130102354155979</v>
      </c>
      <c r="AG24" s="88"/>
    </row>
    <row r="25" spans="1:33" x14ac:dyDescent="0.3">
      <c r="A25" s="14">
        <v>1</v>
      </c>
      <c r="B25" s="1" t="s">
        <v>110</v>
      </c>
      <c r="C25" s="9">
        <f>N18*2</f>
        <v>10</v>
      </c>
      <c r="J25" s="89"/>
      <c r="K25" s="105" t="s">
        <v>32</v>
      </c>
      <c r="L25" s="105">
        <v>47</v>
      </c>
      <c r="M25" s="89" t="s">
        <v>120</v>
      </c>
      <c r="N25" s="89">
        <f>C14*N21</f>
        <v>7800</v>
      </c>
      <c r="O25" s="89"/>
      <c r="P25" s="135" t="s">
        <v>174</v>
      </c>
      <c r="Q25" s="135"/>
      <c r="R25" s="88">
        <f>C16</f>
        <v>10</v>
      </c>
      <c r="S25" s="89"/>
      <c r="T25" s="89"/>
      <c r="U25" s="89"/>
      <c r="V25" s="88">
        <v>5</v>
      </c>
      <c r="W25" s="88">
        <v>-0.9</v>
      </c>
      <c r="X25" s="88">
        <v>-0.6</v>
      </c>
      <c r="Y25" s="88">
        <v>-0.9</v>
      </c>
      <c r="Z25" s="88">
        <v>-0.6</v>
      </c>
      <c r="AA25" s="89"/>
      <c r="AB25" s="88">
        <v>30</v>
      </c>
      <c r="AC25" s="88">
        <v>-0.2</v>
      </c>
      <c r="AD25" s="88">
        <v>-0.5</v>
      </c>
      <c r="AE25" s="88">
        <v>-0.8</v>
      </c>
      <c r="AF25" s="88">
        <v>-0.8</v>
      </c>
      <c r="AG25" s="89"/>
    </row>
    <row r="26" spans="1:33" x14ac:dyDescent="0.3">
      <c r="A26" s="14">
        <v>2</v>
      </c>
      <c r="B26" s="1" t="s">
        <v>111</v>
      </c>
      <c r="C26" s="9">
        <f>P19</f>
        <v>26.56505117707799</v>
      </c>
      <c r="D26" s="13" t="s">
        <v>115</v>
      </c>
      <c r="J26" s="89"/>
      <c r="K26" s="105" t="s">
        <v>33</v>
      </c>
      <c r="L26" s="105">
        <v>44</v>
      </c>
      <c r="M26" s="89" t="s">
        <v>121</v>
      </c>
      <c r="N26" s="89">
        <f>N21*C15</f>
        <v>720</v>
      </c>
      <c r="O26" s="89"/>
      <c r="P26" s="108" t="s">
        <v>176</v>
      </c>
      <c r="Q26" s="89"/>
      <c r="R26" s="89"/>
      <c r="S26" s="89"/>
      <c r="T26" s="89"/>
      <c r="U26" s="89"/>
      <c r="V26" s="88">
        <v>10</v>
      </c>
      <c r="W26" s="88">
        <v>-1.1000000000000001</v>
      </c>
      <c r="X26" s="88">
        <v>-0.6</v>
      </c>
      <c r="Y26" s="88">
        <v>-0.8</v>
      </c>
      <c r="Z26" s="88">
        <v>-0.6</v>
      </c>
      <c r="AA26" s="89"/>
      <c r="AB26" s="89"/>
      <c r="AC26" s="89"/>
      <c r="AD26" s="89"/>
      <c r="AE26" s="89"/>
      <c r="AF26" s="89"/>
      <c r="AG26" s="89"/>
    </row>
    <row r="27" spans="1:33" x14ac:dyDescent="0.3">
      <c r="A27" s="14">
        <v>3</v>
      </c>
      <c r="B27" s="1" t="s">
        <v>112</v>
      </c>
      <c r="C27" s="9">
        <f>N20</f>
        <v>11.180339887498949</v>
      </c>
      <c r="D27" s="13" t="s">
        <v>94</v>
      </c>
      <c r="J27" s="89"/>
      <c r="K27" s="105" t="s">
        <v>34</v>
      </c>
      <c r="L27" s="105">
        <v>50</v>
      </c>
      <c r="M27" s="89" t="s">
        <v>122</v>
      </c>
      <c r="N27" s="89">
        <f>(10*((C8/3)+5))*N21</f>
        <v>7000.0000000000009</v>
      </c>
      <c r="O27" s="89"/>
      <c r="P27" s="88" t="s">
        <v>177</v>
      </c>
      <c r="Q27" s="88">
        <f>+-0.5</f>
        <v>-0.5</v>
      </c>
      <c r="R27" s="88">
        <v>0.5</v>
      </c>
      <c r="S27" s="89"/>
      <c r="T27" s="89"/>
      <c r="U27" s="89"/>
      <c r="V27" s="88">
        <v>20</v>
      </c>
      <c r="W27" s="88">
        <v>-0.7</v>
      </c>
      <c r="X27" s="88">
        <v>-0.5</v>
      </c>
      <c r="Y27" s="88">
        <v>-0.8</v>
      </c>
      <c r="Z27" s="88">
        <v>-0.6</v>
      </c>
      <c r="AA27" s="89"/>
      <c r="AB27" s="89"/>
      <c r="AC27" s="88" t="s">
        <v>175</v>
      </c>
      <c r="AD27" s="88">
        <f>MIN(AC24:AF24)</f>
        <v>-0.8</v>
      </c>
      <c r="AE27" s="88"/>
      <c r="AF27" s="89"/>
      <c r="AG27" s="89"/>
    </row>
    <row r="28" spans="1:33" x14ac:dyDescent="0.3">
      <c r="A28" s="14">
        <v>4</v>
      </c>
      <c r="B28" s="1" t="s">
        <v>113</v>
      </c>
      <c r="C28" s="9">
        <f>N21</f>
        <v>60</v>
      </c>
      <c r="D28" s="13" t="s">
        <v>116</v>
      </c>
      <c r="J28" s="89"/>
      <c r="K28" s="105" t="s">
        <v>35</v>
      </c>
      <c r="L28" s="105">
        <v>39</v>
      </c>
      <c r="M28" s="89"/>
      <c r="N28" s="89"/>
      <c r="O28" s="89"/>
      <c r="P28" s="88" t="s">
        <v>178</v>
      </c>
      <c r="Q28" s="88">
        <f>+-0.7</f>
        <v>-0.7</v>
      </c>
      <c r="R28" s="88">
        <v>0.7</v>
      </c>
      <c r="S28" s="89"/>
      <c r="T28" s="89"/>
      <c r="U28" s="89"/>
      <c r="V28" s="88">
        <v>30</v>
      </c>
      <c r="W28" s="88">
        <v>-0.2</v>
      </c>
      <c r="X28" s="88">
        <v>-0.5</v>
      </c>
      <c r="Y28" s="88">
        <v>-0.8</v>
      </c>
      <c r="Z28" s="88">
        <v>-0.8</v>
      </c>
      <c r="AA28" s="89"/>
      <c r="AB28" s="89"/>
      <c r="AC28" s="88" t="s">
        <v>176</v>
      </c>
      <c r="AD28" s="88">
        <f>IF(R25&lt;20,0.5,0.7)</f>
        <v>0.5</v>
      </c>
      <c r="AE28" s="88">
        <f>IF(R25&lt;20,-0.5,-0.7)</f>
        <v>-0.5</v>
      </c>
      <c r="AF28" s="89"/>
      <c r="AG28" s="89"/>
    </row>
    <row r="29" spans="1:33" x14ac:dyDescent="0.3">
      <c r="A29" s="14">
        <v>5</v>
      </c>
      <c r="B29" s="1" t="s">
        <v>114</v>
      </c>
      <c r="C29" s="9">
        <f>N22</f>
        <v>67.082039324993701</v>
      </c>
      <c r="D29" s="13" t="s">
        <v>117</v>
      </c>
      <c r="J29" s="89"/>
      <c r="K29" s="105" t="s">
        <v>36</v>
      </c>
      <c r="L29" s="105">
        <v>47</v>
      </c>
      <c r="M29" s="89" t="s">
        <v>142</v>
      </c>
      <c r="N29" s="89">
        <f>IF(P19&lt;10,N31,N33)</f>
        <v>418.6989764584402</v>
      </c>
      <c r="O29" s="89"/>
      <c r="P29" s="89"/>
      <c r="Q29" s="89"/>
      <c r="R29" s="89"/>
      <c r="S29" s="89"/>
      <c r="T29" s="89"/>
      <c r="U29" s="89"/>
      <c r="V29" s="88">
        <v>45</v>
      </c>
      <c r="W29" s="88">
        <f>0.2</f>
        <v>0.2</v>
      </c>
      <c r="X29" s="88">
        <v>-0.5</v>
      </c>
      <c r="Y29" s="88">
        <v>-0.8</v>
      </c>
      <c r="Z29" s="88">
        <v>-0.8</v>
      </c>
      <c r="AA29" s="89"/>
      <c r="AB29" s="89"/>
      <c r="AC29" s="89"/>
      <c r="AD29" s="89"/>
      <c r="AE29" s="89"/>
      <c r="AF29" s="89"/>
      <c r="AG29" s="89"/>
    </row>
    <row r="30" spans="1:33" x14ac:dyDescent="0.3">
      <c r="J30" s="89"/>
      <c r="K30" s="105" t="s">
        <v>37</v>
      </c>
      <c r="L30" s="105">
        <v>39</v>
      </c>
      <c r="M30" s="89" t="s">
        <v>139</v>
      </c>
      <c r="N30" s="89">
        <v>400</v>
      </c>
      <c r="O30" s="89"/>
      <c r="P30" s="89"/>
      <c r="Q30" s="89"/>
      <c r="R30" s="89"/>
      <c r="S30" s="89"/>
      <c r="T30" s="89"/>
      <c r="U30" s="89"/>
      <c r="V30" s="88">
        <v>60</v>
      </c>
      <c r="W30" s="88">
        <v>0.6</v>
      </c>
      <c r="X30" s="88">
        <v>-0.5</v>
      </c>
      <c r="Y30" s="88">
        <v>-0.8</v>
      </c>
      <c r="Z30" s="88">
        <v>-0.8</v>
      </c>
      <c r="AA30" s="89"/>
      <c r="AB30" s="135" t="s">
        <v>179</v>
      </c>
      <c r="AC30" s="135"/>
      <c r="AD30" s="89"/>
      <c r="AE30" s="89"/>
      <c r="AF30" s="89"/>
      <c r="AG30" s="89"/>
    </row>
    <row r="31" spans="1:33" ht="15.6" x14ac:dyDescent="0.3">
      <c r="B31" s="8" t="s">
        <v>118</v>
      </c>
      <c r="J31" s="89"/>
      <c r="K31" s="105" t="s">
        <v>38</v>
      </c>
      <c r="L31" s="105">
        <v>50</v>
      </c>
      <c r="M31" s="89" t="s">
        <v>140</v>
      </c>
      <c r="N31" s="89">
        <v>750</v>
      </c>
      <c r="O31" s="89"/>
      <c r="P31" s="89"/>
      <c r="Q31" s="89"/>
      <c r="R31" s="89"/>
      <c r="S31" s="89"/>
      <c r="T31" s="89"/>
      <c r="U31" s="89"/>
      <c r="V31" s="88"/>
      <c r="W31" s="88"/>
      <c r="X31" s="88"/>
      <c r="Y31" s="88"/>
      <c r="Z31" s="88"/>
      <c r="AA31" s="89"/>
      <c r="AB31" s="89">
        <f>(AD27+AD28)*N22*C54</f>
        <v>-19499.329411028215</v>
      </c>
      <c r="AC31" s="89"/>
      <c r="AD31" s="89"/>
      <c r="AE31" s="89"/>
      <c r="AF31" s="89"/>
      <c r="AG31" s="89"/>
    </row>
    <row r="32" spans="1:33" x14ac:dyDescent="0.3">
      <c r="J32" s="89"/>
      <c r="K32" s="105" t="s">
        <v>39</v>
      </c>
      <c r="L32" s="105">
        <v>55</v>
      </c>
      <c r="M32" s="89" t="s">
        <v>141</v>
      </c>
      <c r="N32" s="89">
        <f>750-(20*(P19-10))</f>
        <v>418.6989764584402</v>
      </c>
      <c r="O32" s="89"/>
      <c r="P32" s="89"/>
      <c r="Q32" s="89"/>
      <c r="R32" s="89"/>
      <c r="S32" s="89"/>
      <c r="T32" s="89"/>
      <c r="U32" s="89"/>
      <c r="V32" s="88">
        <v>0</v>
      </c>
      <c r="W32" s="88">
        <v>-0.7</v>
      </c>
      <c r="X32" s="88">
        <v>0.6</v>
      </c>
      <c r="Y32" s="88">
        <v>-0.9</v>
      </c>
      <c r="Z32" s="88">
        <v>-0.7</v>
      </c>
      <c r="AA32" s="89"/>
      <c r="AB32" s="89">
        <f>(AD27-AD28)*N22*C54</f>
        <v>-84497.094114455613</v>
      </c>
      <c r="AC32" s="89"/>
      <c r="AD32" s="89"/>
      <c r="AE32" s="89"/>
      <c r="AF32" s="89"/>
      <c r="AG32" s="89"/>
    </row>
    <row r="33" spans="1:33" x14ac:dyDescent="0.3">
      <c r="A33" s="14">
        <v>1</v>
      </c>
      <c r="B33" t="s">
        <v>128</v>
      </c>
      <c r="C33" s="9">
        <f>N24</f>
        <v>10062.305898749055</v>
      </c>
      <c r="D33" s="13" t="s">
        <v>132</v>
      </c>
      <c r="J33" s="89"/>
      <c r="K33" s="105" t="s">
        <v>40</v>
      </c>
      <c r="L33" s="105">
        <v>47</v>
      </c>
      <c r="M33" s="89" t="s">
        <v>143</v>
      </c>
      <c r="N33" s="89">
        <f>MAX(N30,N32)</f>
        <v>418.6989764584402</v>
      </c>
      <c r="O33" s="89"/>
      <c r="P33" s="89"/>
      <c r="Q33" s="89"/>
      <c r="R33" s="89"/>
      <c r="S33" s="89"/>
      <c r="T33" s="89"/>
      <c r="U33" s="89"/>
      <c r="V33" s="88">
        <v>5</v>
      </c>
      <c r="W33" s="88">
        <v>-0.7</v>
      </c>
      <c r="X33" s="88">
        <v>0.6</v>
      </c>
      <c r="Y33" s="88">
        <v>-0.8</v>
      </c>
      <c r="Z33" s="88">
        <v>-0.8</v>
      </c>
      <c r="AA33" s="89"/>
      <c r="AB33" s="89"/>
      <c r="AC33" s="89"/>
      <c r="AD33" s="89"/>
      <c r="AE33" s="89"/>
      <c r="AF33" s="89"/>
      <c r="AG33" s="89"/>
    </row>
    <row r="34" spans="1:33" x14ac:dyDescent="0.3">
      <c r="A34" s="14">
        <v>2</v>
      </c>
      <c r="B34" t="s">
        <v>127</v>
      </c>
      <c r="C34" s="9">
        <f>N25</f>
        <v>7800</v>
      </c>
      <c r="D34" s="13" t="s">
        <v>132</v>
      </c>
      <c r="J34" s="89"/>
      <c r="K34" s="105" t="s">
        <v>41</v>
      </c>
      <c r="L34" s="105">
        <v>47</v>
      </c>
      <c r="M34" s="89"/>
      <c r="N34" s="89"/>
      <c r="O34" s="89"/>
      <c r="P34" s="89"/>
      <c r="Q34" s="89"/>
      <c r="R34" s="89"/>
      <c r="S34" s="89"/>
      <c r="T34" s="89"/>
      <c r="U34" s="89"/>
      <c r="V34" s="88">
        <v>10</v>
      </c>
      <c r="W34" s="88">
        <v>-0.7</v>
      </c>
      <c r="X34" s="88">
        <v>0.6</v>
      </c>
      <c r="Y34" s="88">
        <v>-0.8</v>
      </c>
      <c r="Z34" s="88">
        <v>-0.8</v>
      </c>
      <c r="AA34" s="89"/>
      <c r="AB34" s="89"/>
      <c r="AC34" s="89"/>
      <c r="AD34" s="89"/>
      <c r="AE34" s="89"/>
      <c r="AF34" s="89"/>
      <c r="AG34" s="89"/>
    </row>
    <row r="35" spans="1:33" x14ac:dyDescent="0.3">
      <c r="A35" s="14">
        <v>3</v>
      </c>
      <c r="B35" t="s">
        <v>129</v>
      </c>
      <c r="C35" s="9">
        <f>N26</f>
        <v>720</v>
      </c>
      <c r="D35" s="13" t="s">
        <v>132</v>
      </c>
      <c r="J35" s="89"/>
      <c r="K35" s="105" t="s">
        <v>42</v>
      </c>
      <c r="L35" s="105">
        <v>47</v>
      </c>
      <c r="M35" s="88" t="s">
        <v>96</v>
      </c>
      <c r="N35" s="88">
        <v>33</v>
      </c>
      <c r="O35" s="88">
        <v>39</v>
      </c>
      <c r="P35" s="88">
        <v>44</v>
      </c>
      <c r="Q35" s="88">
        <v>47</v>
      </c>
      <c r="R35" s="88">
        <v>50</v>
      </c>
      <c r="S35" s="88">
        <v>55</v>
      </c>
      <c r="T35" s="89"/>
      <c r="U35" s="89"/>
      <c r="V35" s="88">
        <v>20</v>
      </c>
      <c r="W35" s="88">
        <v>-0.8</v>
      </c>
      <c r="X35" s="88">
        <v>0.6</v>
      </c>
      <c r="Y35" s="88">
        <v>-0.8</v>
      </c>
      <c r="Z35" s="88">
        <v>-0.8</v>
      </c>
      <c r="AA35" s="89"/>
      <c r="AB35" s="89"/>
      <c r="AC35" s="89"/>
      <c r="AD35" s="89"/>
      <c r="AE35" s="89"/>
      <c r="AF35" s="89"/>
      <c r="AG35" s="89"/>
    </row>
    <row r="36" spans="1:33" x14ac:dyDescent="0.3">
      <c r="A36" s="14">
        <v>4</v>
      </c>
      <c r="B36" t="s">
        <v>130</v>
      </c>
      <c r="C36" s="9">
        <f>N27</f>
        <v>7000.0000000000009</v>
      </c>
      <c r="D36" s="13" t="s">
        <v>132</v>
      </c>
      <c r="J36" s="89"/>
      <c r="K36" s="105" t="s">
        <v>43</v>
      </c>
      <c r="L36" s="105">
        <v>47</v>
      </c>
      <c r="M36" s="88">
        <v>50</v>
      </c>
      <c r="N36" s="88">
        <v>1</v>
      </c>
      <c r="O36" s="88">
        <v>1</v>
      </c>
      <c r="P36" s="88">
        <v>1</v>
      </c>
      <c r="Q36" s="88">
        <v>1</v>
      </c>
      <c r="R36" s="88">
        <v>1</v>
      </c>
      <c r="S36" s="88">
        <v>1</v>
      </c>
      <c r="T36" s="89"/>
      <c r="U36" s="89"/>
      <c r="V36" s="88">
        <v>30</v>
      </c>
      <c r="W36" s="88">
        <v>-1</v>
      </c>
      <c r="X36" s="88">
        <v>-0.5</v>
      </c>
      <c r="Y36" s="88">
        <v>-0.8</v>
      </c>
      <c r="Z36" s="88">
        <v>-0.7</v>
      </c>
      <c r="AA36" s="89"/>
      <c r="AB36" s="89"/>
      <c r="AC36" s="89"/>
      <c r="AD36" s="89"/>
      <c r="AE36" s="89"/>
      <c r="AF36" s="89"/>
      <c r="AG36" s="89"/>
    </row>
    <row r="37" spans="1:33" x14ac:dyDescent="0.3">
      <c r="A37" s="14">
        <v>5</v>
      </c>
      <c r="B37" t="s">
        <v>131</v>
      </c>
      <c r="C37" s="15">
        <f>SUM(C33:C36)</f>
        <v>25582.305898749055</v>
      </c>
      <c r="D37" s="13" t="s">
        <v>132</v>
      </c>
      <c r="J37" s="89"/>
      <c r="K37" s="105" t="s">
        <v>44</v>
      </c>
      <c r="L37" s="105">
        <v>47</v>
      </c>
      <c r="M37" s="88">
        <v>5</v>
      </c>
      <c r="N37" s="88">
        <v>0.82</v>
      </c>
      <c r="O37" s="88">
        <v>0.76</v>
      </c>
      <c r="P37" s="88">
        <v>0.73</v>
      </c>
      <c r="Q37" s="88">
        <v>0.71</v>
      </c>
      <c r="R37" s="88">
        <v>0.7</v>
      </c>
      <c r="S37" s="88">
        <v>0.67</v>
      </c>
      <c r="T37" s="89"/>
      <c r="U37" s="89"/>
      <c r="V37" s="88">
        <v>40</v>
      </c>
      <c r="W37" s="88">
        <v>-0.2</v>
      </c>
      <c r="X37" s="88">
        <v>-0.5</v>
      </c>
      <c r="Y37" s="88">
        <v>-0.8</v>
      </c>
      <c r="Z37" s="88">
        <v>-0.7</v>
      </c>
      <c r="AA37" s="89"/>
      <c r="AB37" s="89"/>
      <c r="AC37" s="89"/>
      <c r="AD37" s="89"/>
      <c r="AE37" s="89"/>
      <c r="AF37" s="89"/>
      <c r="AG37" s="89"/>
    </row>
    <row r="38" spans="1:33" ht="15" thickBot="1" x14ac:dyDescent="0.35">
      <c r="J38" s="89"/>
      <c r="K38" s="105" t="s">
        <v>45</v>
      </c>
      <c r="L38" s="105">
        <v>50</v>
      </c>
      <c r="M38" s="88">
        <v>25</v>
      </c>
      <c r="N38" s="88">
        <v>0.94</v>
      </c>
      <c r="O38" s="88">
        <v>0.92</v>
      </c>
      <c r="P38" s="88">
        <v>0.91</v>
      </c>
      <c r="Q38" s="88">
        <v>0.9</v>
      </c>
      <c r="R38" s="88">
        <v>0.9</v>
      </c>
      <c r="S38" s="88">
        <v>0.89</v>
      </c>
      <c r="T38" s="89"/>
      <c r="U38" s="89"/>
      <c r="V38" s="88">
        <v>50</v>
      </c>
      <c r="W38" s="88">
        <v>0.2</v>
      </c>
      <c r="X38" s="88">
        <v>-0.5</v>
      </c>
      <c r="Y38" s="88">
        <v>-0.8</v>
      </c>
      <c r="Z38" s="88">
        <v>-0.7</v>
      </c>
      <c r="AA38" s="89"/>
      <c r="AB38" s="89"/>
      <c r="AC38" s="89"/>
      <c r="AD38" s="89"/>
      <c r="AE38" s="89"/>
      <c r="AF38" s="89"/>
      <c r="AG38" s="89"/>
    </row>
    <row r="39" spans="1:33" x14ac:dyDescent="0.3">
      <c r="B39" s="16" t="s">
        <v>134</v>
      </c>
      <c r="C39" s="21">
        <f>C37/N18</f>
        <v>5116.461179749811</v>
      </c>
      <c r="D39" s="17" t="s">
        <v>132</v>
      </c>
      <c r="J39" s="89"/>
      <c r="K39" s="105" t="s">
        <v>46</v>
      </c>
      <c r="L39" s="105">
        <v>39</v>
      </c>
      <c r="M39" s="88">
        <v>100</v>
      </c>
      <c r="N39" s="88">
        <v>1.05</v>
      </c>
      <c r="O39" s="88">
        <v>1.06</v>
      </c>
      <c r="P39" s="88">
        <v>1.07</v>
      </c>
      <c r="Q39" s="88">
        <v>1.07</v>
      </c>
      <c r="R39" s="88">
        <v>1.08</v>
      </c>
      <c r="S39" s="88">
        <v>1.08</v>
      </c>
      <c r="T39" s="89"/>
      <c r="U39" s="89"/>
      <c r="V39" s="88">
        <v>60</v>
      </c>
      <c r="W39" s="88">
        <v>0.5</v>
      </c>
      <c r="X39" s="88">
        <v>-0.5</v>
      </c>
      <c r="Y39" s="88">
        <v>-0.8</v>
      </c>
      <c r="Z39" s="88">
        <v>-0.7</v>
      </c>
      <c r="AA39" s="89"/>
      <c r="AB39" s="89"/>
      <c r="AC39" s="89"/>
      <c r="AD39" s="89"/>
      <c r="AE39" s="89"/>
      <c r="AF39" s="89"/>
      <c r="AG39" s="89"/>
    </row>
    <row r="40" spans="1:33" ht="15" thickBot="1" x14ac:dyDescent="0.35">
      <c r="B40" s="18" t="s">
        <v>133</v>
      </c>
      <c r="C40" s="22">
        <f>C39/2</f>
        <v>2558.2305898749055</v>
      </c>
      <c r="D40" s="19" t="s">
        <v>132</v>
      </c>
      <c r="J40" s="89"/>
      <c r="K40" s="105" t="s">
        <v>47</v>
      </c>
      <c r="L40" s="105">
        <v>47</v>
      </c>
      <c r="M40" s="89"/>
      <c r="N40" s="89"/>
      <c r="O40" s="89"/>
      <c r="P40" s="89"/>
      <c r="Q40" s="89"/>
      <c r="R40" s="89"/>
      <c r="S40" s="89"/>
      <c r="T40" s="89"/>
      <c r="U40" s="89"/>
      <c r="V40" s="89"/>
      <c r="W40" s="89"/>
      <c r="X40" s="89"/>
      <c r="Y40" s="89"/>
      <c r="Z40" s="89"/>
      <c r="AA40" s="89"/>
      <c r="AB40" s="89"/>
      <c r="AC40" s="89"/>
      <c r="AD40" s="89"/>
      <c r="AE40" s="89"/>
      <c r="AF40" s="89"/>
      <c r="AG40" s="89"/>
    </row>
    <row r="41" spans="1:33" x14ac:dyDescent="0.3">
      <c r="J41" s="89"/>
      <c r="K41" s="105" t="s">
        <v>48</v>
      </c>
      <c r="L41" s="105">
        <v>44</v>
      </c>
      <c r="M41" s="108" t="s">
        <v>153</v>
      </c>
      <c r="N41" s="108">
        <v>0.92</v>
      </c>
      <c r="O41" s="89"/>
      <c r="P41" s="89"/>
      <c r="Q41" s="89"/>
      <c r="R41" s="89"/>
      <c r="S41" s="89"/>
      <c r="T41" s="89"/>
      <c r="U41" s="89"/>
      <c r="V41" s="89"/>
      <c r="W41" s="89"/>
      <c r="X41" s="89"/>
      <c r="Y41" s="89"/>
      <c r="Z41" s="89"/>
      <c r="AA41" s="89"/>
      <c r="AB41" s="89"/>
      <c r="AC41" s="89"/>
      <c r="AD41" s="89"/>
      <c r="AE41" s="89"/>
      <c r="AF41" s="89"/>
      <c r="AG41" s="89"/>
    </row>
    <row r="42" spans="1:33" ht="15.6" x14ac:dyDescent="0.3">
      <c r="B42" s="20" t="s">
        <v>136</v>
      </c>
      <c r="J42" s="89"/>
      <c r="K42" s="105" t="s">
        <v>49</v>
      </c>
      <c r="L42" s="105">
        <v>47</v>
      </c>
      <c r="M42" s="110" t="s">
        <v>159</v>
      </c>
      <c r="N42" s="110" t="s">
        <v>154</v>
      </c>
      <c r="O42" s="110" t="s">
        <v>154</v>
      </c>
      <c r="P42" s="110" t="s">
        <v>154</v>
      </c>
      <c r="Q42" s="110" t="s">
        <v>157</v>
      </c>
      <c r="R42" s="110" t="s">
        <v>157</v>
      </c>
      <c r="S42" s="110" t="s">
        <v>157</v>
      </c>
      <c r="T42" s="110" t="s">
        <v>124</v>
      </c>
      <c r="U42" s="110" t="s">
        <v>124</v>
      </c>
      <c r="V42" s="110" t="s">
        <v>124</v>
      </c>
      <c r="W42" s="110" t="s">
        <v>158</v>
      </c>
      <c r="X42" s="110" t="s">
        <v>158</v>
      </c>
      <c r="Y42" s="110" t="s">
        <v>158</v>
      </c>
      <c r="Z42" s="113" t="s">
        <v>162</v>
      </c>
      <c r="AA42" s="89"/>
      <c r="AB42" s="89"/>
      <c r="AC42" s="89"/>
      <c r="AD42" s="89"/>
      <c r="AE42" s="89"/>
      <c r="AF42" s="89"/>
      <c r="AG42" s="89"/>
    </row>
    <row r="43" spans="1:33" x14ac:dyDescent="0.3">
      <c r="J43" s="89"/>
      <c r="K43" s="105" t="s">
        <v>50</v>
      </c>
      <c r="L43" s="105">
        <v>47</v>
      </c>
      <c r="M43" s="109" t="s">
        <v>94</v>
      </c>
      <c r="N43" s="109" t="s">
        <v>125</v>
      </c>
      <c r="O43" s="109" t="s">
        <v>155</v>
      </c>
      <c r="P43" s="109" t="s">
        <v>156</v>
      </c>
      <c r="Q43" s="109" t="s">
        <v>125</v>
      </c>
      <c r="R43" s="109" t="s">
        <v>155</v>
      </c>
      <c r="S43" s="109" t="s">
        <v>156</v>
      </c>
      <c r="T43" s="109" t="s">
        <v>125</v>
      </c>
      <c r="U43" s="109" t="s">
        <v>155</v>
      </c>
      <c r="V43" s="109" t="s">
        <v>156</v>
      </c>
      <c r="W43" s="109" t="s">
        <v>125</v>
      </c>
      <c r="X43" s="109" t="s">
        <v>155</v>
      </c>
      <c r="Y43" s="109" t="s">
        <v>156</v>
      </c>
      <c r="Z43" s="114" t="s">
        <v>163</v>
      </c>
      <c r="AA43" s="89"/>
      <c r="AB43" s="89"/>
      <c r="AC43" s="89"/>
      <c r="AD43" s="89"/>
      <c r="AE43" s="89"/>
      <c r="AF43" s="89"/>
      <c r="AG43" s="89"/>
    </row>
    <row r="44" spans="1:33" x14ac:dyDescent="0.3">
      <c r="A44" s="14">
        <v>1</v>
      </c>
      <c r="B44" t="s">
        <v>137</v>
      </c>
      <c r="C44" s="9">
        <f>N29</f>
        <v>418.6989764584402</v>
      </c>
      <c r="D44" s="13" t="s">
        <v>98</v>
      </c>
      <c r="J44" s="89"/>
      <c r="K44" s="105" t="s">
        <v>51</v>
      </c>
      <c r="L44" s="105">
        <v>47</v>
      </c>
      <c r="M44" s="109">
        <v>10</v>
      </c>
      <c r="N44" s="110">
        <v>1.05</v>
      </c>
      <c r="O44" s="110">
        <v>1.03</v>
      </c>
      <c r="P44" s="110">
        <v>0.99</v>
      </c>
      <c r="Q44" s="110">
        <v>1</v>
      </c>
      <c r="R44" s="110">
        <v>0.98</v>
      </c>
      <c r="S44" s="110">
        <v>0.93</v>
      </c>
      <c r="T44" s="110">
        <v>0.91</v>
      </c>
      <c r="U44" s="110">
        <v>0.88</v>
      </c>
      <c r="V44" s="110">
        <v>0.82</v>
      </c>
      <c r="W44" s="110">
        <v>0.8</v>
      </c>
      <c r="X44" s="110">
        <v>0.76</v>
      </c>
      <c r="Y44" s="110">
        <v>0.67</v>
      </c>
      <c r="Z44" s="89"/>
      <c r="AA44" s="89"/>
      <c r="AB44" s="89"/>
      <c r="AC44" s="89"/>
      <c r="AD44" s="89"/>
      <c r="AE44" s="89"/>
      <c r="AF44" s="89"/>
      <c r="AG44" s="89"/>
    </row>
    <row r="45" spans="1:33" x14ac:dyDescent="0.3">
      <c r="A45" s="14">
        <v>2</v>
      </c>
      <c r="B45" t="s">
        <v>138</v>
      </c>
      <c r="C45" s="9">
        <f>(2/3)*C44*N21</f>
        <v>16747.959058337608</v>
      </c>
      <c r="D45" s="13" t="s">
        <v>132</v>
      </c>
      <c r="J45" s="89"/>
      <c r="K45" s="105" t="s">
        <v>52</v>
      </c>
      <c r="L45" s="105">
        <v>47</v>
      </c>
      <c r="M45" s="109">
        <v>15</v>
      </c>
      <c r="N45" s="110">
        <v>1.0900000000000001</v>
      </c>
      <c r="O45" s="110">
        <v>1.07</v>
      </c>
      <c r="P45" s="110">
        <v>1.03</v>
      </c>
      <c r="Q45" s="110">
        <v>1.05</v>
      </c>
      <c r="R45" s="110">
        <v>1.02</v>
      </c>
      <c r="S45" s="110">
        <v>0.97</v>
      </c>
      <c r="T45" s="110">
        <v>0.97</v>
      </c>
      <c r="U45" s="110">
        <v>0.94</v>
      </c>
      <c r="V45" s="110">
        <v>0.87</v>
      </c>
      <c r="W45" s="110">
        <v>0.8</v>
      </c>
      <c r="X45" s="110">
        <v>0.76</v>
      </c>
      <c r="Y45" s="110">
        <v>0.67</v>
      </c>
      <c r="Z45" s="89"/>
      <c r="AA45" s="89"/>
      <c r="AB45" s="89"/>
      <c r="AC45" s="89"/>
      <c r="AD45" s="89"/>
      <c r="AE45" s="89"/>
      <c r="AF45" s="89"/>
      <c r="AG45" s="89"/>
    </row>
    <row r="46" spans="1:33" ht="15" thickBot="1" x14ac:dyDescent="0.35">
      <c r="J46" s="89"/>
      <c r="K46" s="105" t="s">
        <v>53</v>
      </c>
      <c r="L46" s="105">
        <v>47</v>
      </c>
      <c r="M46" s="109">
        <v>20</v>
      </c>
      <c r="N46" s="110">
        <v>1.1200000000000001</v>
      </c>
      <c r="O46" s="110">
        <v>1.1000000000000001</v>
      </c>
      <c r="P46" s="110">
        <v>1.06</v>
      </c>
      <c r="Q46" s="110">
        <v>1.07</v>
      </c>
      <c r="R46" s="110">
        <v>1.05</v>
      </c>
      <c r="S46" s="110">
        <v>1</v>
      </c>
      <c r="T46" s="110">
        <v>1.01</v>
      </c>
      <c r="U46" s="110">
        <v>0.98</v>
      </c>
      <c r="V46" s="110">
        <v>0.91</v>
      </c>
      <c r="W46" s="110">
        <v>0.8</v>
      </c>
      <c r="X46" s="110">
        <v>0.76</v>
      </c>
      <c r="Y46" s="110">
        <v>0.67</v>
      </c>
      <c r="Z46" s="89"/>
      <c r="AA46" s="89"/>
      <c r="AB46" s="89"/>
      <c r="AC46" s="89"/>
      <c r="AD46" s="89"/>
      <c r="AE46" s="89"/>
      <c r="AF46" s="89"/>
      <c r="AG46" s="89"/>
    </row>
    <row r="47" spans="1:33" x14ac:dyDescent="0.3">
      <c r="B47" s="16" t="s">
        <v>144</v>
      </c>
      <c r="C47" s="21">
        <f>C45/N18</f>
        <v>3349.5918116675216</v>
      </c>
      <c r="D47" s="17" t="s">
        <v>132</v>
      </c>
      <c r="J47" s="89"/>
      <c r="K47" s="105" t="s">
        <v>54</v>
      </c>
      <c r="L47" s="105">
        <v>47</v>
      </c>
      <c r="M47" s="109">
        <v>30</v>
      </c>
      <c r="N47" s="110">
        <v>1.1499999999999999</v>
      </c>
      <c r="O47" s="110">
        <v>1.1299999999999999</v>
      </c>
      <c r="P47" s="110">
        <v>1.0900000000000001</v>
      </c>
      <c r="Q47" s="110">
        <v>1.1200000000000001</v>
      </c>
      <c r="R47" s="110">
        <v>1.1000000000000001</v>
      </c>
      <c r="S47" s="110">
        <v>1.04</v>
      </c>
      <c r="T47" s="110">
        <v>1.06</v>
      </c>
      <c r="U47" s="110">
        <v>1.03</v>
      </c>
      <c r="V47" s="110">
        <v>0.96</v>
      </c>
      <c r="W47" s="110">
        <v>0.97</v>
      </c>
      <c r="X47" s="110">
        <v>0.93</v>
      </c>
      <c r="Y47" s="110">
        <v>0.83</v>
      </c>
      <c r="Z47" s="89"/>
      <c r="AA47" s="89"/>
      <c r="AB47" s="89"/>
      <c r="AC47" s="89"/>
      <c r="AD47" s="89"/>
      <c r="AE47" s="89"/>
      <c r="AF47" s="89"/>
      <c r="AG47" s="89"/>
    </row>
    <row r="48" spans="1:33" ht="15" thickBot="1" x14ac:dyDescent="0.35">
      <c r="B48" s="18" t="s">
        <v>145</v>
      </c>
      <c r="C48" s="22">
        <f>C47/2</f>
        <v>1674.7959058337608</v>
      </c>
      <c r="D48" s="19" t="s">
        <v>132</v>
      </c>
      <c r="J48" s="89"/>
      <c r="K48" s="105" t="s">
        <v>55</v>
      </c>
      <c r="L48" s="105">
        <v>47</v>
      </c>
      <c r="M48" s="109">
        <v>50</v>
      </c>
      <c r="N48" s="110">
        <v>1.2</v>
      </c>
      <c r="O48" s="110">
        <v>1.18</v>
      </c>
      <c r="P48" s="110">
        <v>1.1399999999999999</v>
      </c>
      <c r="Q48" s="110">
        <v>1.17</v>
      </c>
      <c r="R48" s="110">
        <v>1.1499999999999999</v>
      </c>
      <c r="S48" s="110">
        <v>1.1000000000000001</v>
      </c>
      <c r="T48" s="110">
        <v>1.1200000000000001</v>
      </c>
      <c r="U48" s="110">
        <v>1.0900000000000001</v>
      </c>
      <c r="V48" s="110">
        <v>1.02</v>
      </c>
      <c r="W48" s="110">
        <v>1.1000000000000001</v>
      </c>
      <c r="X48" s="110">
        <v>1.05</v>
      </c>
      <c r="Y48" s="110">
        <v>0.95</v>
      </c>
      <c r="Z48" s="89"/>
      <c r="AA48" s="89"/>
      <c r="AB48" s="89"/>
      <c r="AC48" s="89"/>
      <c r="AD48" s="89"/>
      <c r="AE48" s="89"/>
      <c r="AF48" s="89"/>
      <c r="AG48" s="89"/>
    </row>
    <row r="49" spans="1:33" x14ac:dyDescent="0.3">
      <c r="J49" s="89"/>
      <c r="K49" s="105" t="s">
        <v>56</v>
      </c>
      <c r="L49" s="105">
        <v>44</v>
      </c>
      <c r="M49" s="115">
        <v>100</v>
      </c>
      <c r="N49" s="88">
        <v>1.26</v>
      </c>
      <c r="O49" s="88">
        <v>1.24</v>
      </c>
      <c r="P49" s="88">
        <v>1.2</v>
      </c>
      <c r="Q49" s="88">
        <v>1.24</v>
      </c>
      <c r="R49" s="88">
        <v>1.22</v>
      </c>
      <c r="S49" s="88">
        <v>1.17</v>
      </c>
      <c r="T49" s="88">
        <v>1.2</v>
      </c>
      <c r="U49" s="88">
        <v>1.17</v>
      </c>
      <c r="V49" s="88">
        <v>1.1000000000000001</v>
      </c>
      <c r="W49" s="88">
        <v>1.2</v>
      </c>
      <c r="X49" s="88">
        <v>1.1499999999999999</v>
      </c>
      <c r="Y49" s="88">
        <v>1.05</v>
      </c>
      <c r="Z49" s="89"/>
      <c r="AA49" s="89"/>
      <c r="AB49" s="89"/>
      <c r="AC49" s="89"/>
      <c r="AD49" s="89"/>
      <c r="AE49" s="89"/>
      <c r="AF49" s="89"/>
      <c r="AG49" s="89"/>
    </row>
    <row r="50" spans="1:33" ht="15.6" x14ac:dyDescent="0.3">
      <c r="B50" s="20" t="s">
        <v>146</v>
      </c>
      <c r="J50" s="89"/>
      <c r="K50" s="105" t="s">
        <v>57</v>
      </c>
      <c r="L50" s="105">
        <v>39</v>
      </c>
      <c r="M50" s="115">
        <v>150</v>
      </c>
      <c r="N50" s="88">
        <v>1.3</v>
      </c>
      <c r="O50" s="88">
        <v>1.28</v>
      </c>
      <c r="P50" s="88">
        <v>1.24</v>
      </c>
      <c r="Q50" s="88">
        <v>1.28</v>
      </c>
      <c r="R50" s="88">
        <v>1.25</v>
      </c>
      <c r="S50" s="88">
        <v>1.21</v>
      </c>
      <c r="T50" s="88">
        <v>1.24</v>
      </c>
      <c r="U50" s="88">
        <v>1.21</v>
      </c>
      <c r="V50" s="88">
        <v>1.1499999999999999</v>
      </c>
      <c r="W50" s="88">
        <v>1.24</v>
      </c>
      <c r="X50" s="88">
        <v>1.2</v>
      </c>
      <c r="Y50" s="88">
        <v>1.1000000000000001</v>
      </c>
      <c r="Z50" s="89"/>
      <c r="AA50" s="89"/>
      <c r="AB50" s="89"/>
      <c r="AC50" s="89"/>
      <c r="AD50" s="89"/>
      <c r="AE50" s="89"/>
      <c r="AF50" s="89"/>
      <c r="AG50" s="89"/>
    </row>
    <row r="51" spans="1:33" x14ac:dyDescent="0.3">
      <c r="J51" s="89"/>
      <c r="K51" s="105" t="s">
        <v>58</v>
      </c>
      <c r="L51" s="105">
        <v>39</v>
      </c>
      <c r="M51" s="115">
        <v>200</v>
      </c>
      <c r="N51" s="88">
        <v>1.32</v>
      </c>
      <c r="O51" s="88">
        <v>1.3</v>
      </c>
      <c r="P51" s="88">
        <v>1.26</v>
      </c>
      <c r="Q51" s="88">
        <v>1.3</v>
      </c>
      <c r="R51" s="88">
        <v>1.28</v>
      </c>
      <c r="S51" s="88">
        <v>1.24</v>
      </c>
      <c r="T51" s="88">
        <v>1.27</v>
      </c>
      <c r="U51" s="88">
        <v>1.24</v>
      </c>
      <c r="V51" s="88">
        <v>1.18</v>
      </c>
      <c r="W51" s="88">
        <v>1.27</v>
      </c>
      <c r="X51" s="88">
        <v>1.22</v>
      </c>
      <c r="Y51" s="88">
        <v>1.1299999999999999</v>
      </c>
      <c r="Z51" s="89"/>
      <c r="AA51" s="89"/>
      <c r="AB51" s="89"/>
      <c r="AC51" s="89"/>
      <c r="AD51" s="89"/>
      <c r="AE51" s="89"/>
      <c r="AF51" s="89"/>
      <c r="AG51" s="89"/>
    </row>
    <row r="52" spans="1:33" x14ac:dyDescent="0.3">
      <c r="A52" s="14">
        <v>1</v>
      </c>
      <c r="B52" t="s">
        <v>147</v>
      </c>
      <c r="C52" s="9">
        <f>F7</f>
        <v>39</v>
      </c>
      <c r="D52" s="13" t="s">
        <v>93</v>
      </c>
      <c r="J52" s="89"/>
      <c r="K52" s="105" t="s">
        <v>59</v>
      </c>
      <c r="L52" s="105">
        <v>47</v>
      </c>
      <c r="M52" s="115">
        <v>250</v>
      </c>
      <c r="N52" s="88">
        <v>1.34</v>
      </c>
      <c r="O52" s="88">
        <v>1.32</v>
      </c>
      <c r="P52" s="88">
        <v>1.28</v>
      </c>
      <c r="Q52" s="88">
        <v>1.32</v>
      </c>
      <c r="R52" s="88">
        <v>1.31</v>
      </c>
      <c r="S52" s="88">
        <v>1.26</v>
      </c>
      <c r="T52" s="88">
        <v>1.29</v>
      </c>
      <c r="U52" s="88">
        <v>1.26</v>
      </c>
      <c r="V52" s="88">
        <v>1.2</v>
      </c>
      <c r="W52" s="88">
        <v>1.28</v>
      </c>
      <c r="X52" s="88">
        <v>1.24</v>
      </c>
      <c r="Y52" s="88">
        <v>1.1599999999999999</v>
      </c>
      <c r="Z52" s="89"/>
      <c r="AA52" s="89"/>
      <c r="AB52" s="89"/>
      <c r="AC52" s="89"/>
      <c r="AD52" s="89"/>
      <c r="AE52" s="89"/>
      <c r="AF52" s="89"/>
      <c r="AG52" s="89"/>
    </row>
    <row r="53" spans="1:33" x14ac:dyDescent="0.3">
      <c r="A53" s="14">
        <v>2</v>
      </c>
      <c r="B53" t="s">
        <v>148</v>
      </c>
      <c r="C53" s="9">
        <f>C52*U18*U19*U20</f>
        <v>40.185600000000008</v>
      </c>
      <c r="D53" s="13" t="s">
        <v>93</v>
      </c>
      <c r="J53" s="89"/>
      <c r="K53" s="105" t="s">
        <v>60</v>
      </c>
      <c r="L53" s="105">
        <v>47</v>
      </c>
      <c r="M53" s="115">
        <v>300</v>
      </c>
      <c r="N53" s="88">
        <v>1.35</v>
      </c>
      <c r="O53" s="88">
        <v>1.34</v>
      </c>
      <c r="P53" s="88">
        <v>1.3</v>
      </c>
      <c r="Q53" s="88">
        <v>1.34</v>
      </c>
      <c r="R53" s="88">
        <v>1.32</v>
      </c>
      <c r="S53" s="88">
        <v>1.28</v>
      </c>
      <c r="T53" s="88">
        <v>1.31</v>
      </c>
      <c r="U53" s="88">
        <v>1.28</v>
      </c>
      <c r="V53" s="88">
        <v>1.22</v>
      </c>
      <c r="W53" s="88">
        <v>1.3</v>
      </c>
      <c r="X53" s="88">
        <v>1.26</v>
      </c>
      <c r="Y53" s="88">
        <v>1.17</v>
      </c>
      <c r="Z53" s="89"/>
      <c r="AA53" s="89"/>
      <c r="AB53" s="89"/>
      <c r="AC53" s="89"/>
      <c r="AD53" s="89"/>
      <c r="AE53" s="89"/>
      <c r="AF53" s="89"/>
      <c r="AG53" s="89"/>
    </row>
    <row r="54" spans="1:33" x14ac:dyDescent="0.3">
      <c r="A54" s="14">
        <v>3</v>
      </c>
      <c r="B54" t="s">
        <v>149</v>
      </c>
      <c r="C54" s="9">
        <f>0.6*C53*C53</f>
        <v>968.92946841600042</v>
      </c>
      <c r="D54" s="13" t="s">
        <v>98</v>
      </c>
      <c r="J54" s="89"/>
      <c r="K54" s="105" t="s">
        <v>61</v>
      </c>
      <c r="L54" s="105">
        <v>50</v>
      </c>
      <c r="M54" s="109">
        <v>350</v>
      </c>
      <c r="N54" s="110">
        <v>1.37</v>
      </c>
      <c r="O54" s="110">
        <v>1.35</v>
      </c>
      <c r="P54" s="110">
        <v>1.31</v>
      </c>
      <c r="Q54" s="110">
        <v>1.36</v>
      </c>
      <c r="R54" s="110">
        <v>1.34</v>
      </c>
      <c r="S54" s="110">
        <v>1.29</v>
      </c>
      <c r="T54" s="110">
        <v>1.32</v>
      </c>
      <c r="U54" s="110">
        <v>1.3</v>
      </c>
      <c r="V54" s="110">
        <v>1.24</v>
      </c>
      <c r="W54" s="110">
        <v>1.31</v>
      </c>
      <c r="X54" s="110">
        <v>1.27</v>
      </c>
      <c r="Y54" s="110">
        <v>1.19</v>
      </c>
      <c r="Z54" s="89"/>
      <c r="AA54" s="89"/>
      <c r="AB54" s="89"/>
      <c r="AC54" s="89"/>
      <c r="AD54" s="89"/>
      <c r="AE54" s="89"/>
      <c r="AF54" s="89"/>
      <c r="AG54" s="89"/>
    </row>
    <row r="55" spans="1:33" x14ac:dyDescent="0.3">
      <c r="A55" s="14">
        <v>4</v>
      </c>
      <c r="B55" t="s">
        <v>150</v>
      </c>
      <c r="C55" s="9">
        <f>MIN(AB31,AB32)</f>
        <v>-84497.094114455613</v>
      </c>
      <c r="D55" s="13" t="s">
        <v>132</v>
      </c>
      <c r="J55" s="89"/>
      <c r="K55" s="105" t="s">
        <v>62</v>
      </c>
      <c r="L55" s="105">
        <v>39</v>
      </c>
      <c r="M55" s="109">
        <v>400</v>
      </c>
      <c r="N55" s="110">
        <v>1.38</v>
      </c>
      <c r="O55" s="110">
        <v>1.36</v>
      </c>
      <c r="P55" s="110">
        <v>1.32</v>
      </c>
      <c r="Q55" s="110">
        <v>1.37</v>
      </c>
      <c r="R55" s="110">
        <v>1.35</v>
      </c>
      <c r="S55" s="110">
        <v>1.3</v>
      </c>
      <c r="T55" s="110">
        <v>1.34</v>
      </c>
      <c r="U55" s="110">
        <v>1.31</v>
      </c>
      <c r="V55" s="110">
        <v>1.25</v>
      </c>
      <c r="W55" s="110">
        <v>1.32</v>
      </c>
      <c r="X55" s="110">
        <v>1.28</v>
      </c>
      <c r="Y55" s="110">
        <v>1.2</v>
      </c>
      <c r="Z55" s="89"/>
      <c r="AA55" s="89"/>
      <c r="AB55" s="89"/>
      <c r="AC55" s="89"/>
      <c r="AD55" s="89"/>
      <c r="AE55" s="89"/>
      <c r="AF55" s="89"/>
      <c r="AG55" s="89"/>
    </row>
    <row r="56" spans="1:33" ht="15" thickBot="1" x14ac:dyDescent="0.35">
      <c r="J56" s="89"/>
      <c r="K56" s="105" t="s">
        <v>76</v>
      </c>
      <c r="L56" s="105">
        <v>39</v>
      </c>
      <c r="M56" s="109">
        <v>450</v>
      </c>
      <c r="N56" s="110">
        <v>1.39</v>
      </c>
      <c r="O56" s="110">
        <v>1.37</v>
      </c>
      <c r="P56" s="110">
        <v>1.33</v>
      </c>
      <c r="Q56" s="110">
        <v>1.38</v>
      </c>
      <c r="R56" s="110">
        <v>1.36</v>
      </c>
      <c r="S56" s="110">
        <v>1.31</v>
      </c>
      <c r="T56" s="110">
        <v>1.35</v>
      </c>
      <c r="U56" s="110">
        <v>1.32</v>
      </c>
      <c r="V56" s="110">
        <v>1.26</v>
      </c>
      <c r="W56" s="110">
        <v>1.33</v>
      </c>
      <c r="X56" s="110">
        <v>1.29</v>
      </c>
      <c r="Y56" s="110">
        <v>1.21</v>
      </c>
      <c r="Z56" s="89"/>
      <c r="AA56" s="89"/>
      <c r="AB56" s="89"/>
      <c r="AC56" s="89"/>
      <c r="AD56" s="89"/>
      <c r="AE56" s="89"/>
      <c r="AF56" s="89"/>
      <c r="AG56" s="89"/>
    </row>
    <row r="57" spans="1:33" x14ac:dyDescent="0.3">
      <c r="B57" s="16" t="s">
        <v>151</v>
      </c>
      <c r="C57" s="21">
        <f>C55/N18</f>
        <v>-16899.418822891123</v>
      </c>
      <c r="D57" s="17" t="s">
        <v>132</v>
      </c>
      <c r="J57" s="89"/>
      <c r="K57" s="105" t="s">
        <v>77</v>
      </c>
      <c r="L57" s="105">
        <v>39</v>
      </c>
      <c r="M57" s="109">
        <v>500</v>
      </c>
      <c r="N57" s="110">
        <v>1.4</v>
      </c>
      <c r="O57" s="110">
        <v>1.38</v>
      </c>
      <c r="P57" s="110">
        <v>1.34</v>
      </c>
      <c r="Q57" s="110">
        <v>1.39</v>
      </c>
      <c r="R57" s="110">
        <v>1.37</v>
      </c>
      <c r="S57" s="110">
        <v>1.32</v>
      </c>
      <c r="T57" s="110">
        <v>1.36</v>
      </c>
      <c r="U57" s="110">
        <v>1.33</v>
      </c>
      <c r="V57" s="110">
        <v>1.28</v>
      </c>
      <c r="W57" s="110">
        <v>1.34</v>
      </c>
      <c r="X57" s="110">
        <v>1.3</v>
      </c>
      <c r="Y57" s="110">
        <v>1.22</v>
      </c>
      <c r="Z57" s="89"/>
      <c r="AA57" s="89"/>
      <c r="AB57" s="89"/>
      <c r="AC57" s="89"/>
      <c r="AD57" s="89"/>
      <c r="AE57" s="89"/>
      <c r="AF57" s="89"/>
      <c r="AG57" s="89"/>
    </row>
    <row r="58" spans="1:33" ht="15" thickBot="1" x14ac:dyDescent="0.35">
      <c r="B58" s="18" t="s">
        <v>152</v>
      </c>
      <c r="C58" s="22">
        <f>C57/2</f>
        <v>-8449.7094114455613</v>
      </c>
      <c r="D58" s="19" t="s">
        <v>132</v>
      </c>
      <c r="J58" s="89"/>
      <c r="K58" s="105" t="s">
        <v>63</v>
      </c>
      <c r="L58" s="105">
        <v>47</v>
      </c>
      <c r="M58" s="109"/>
      <c r="N58" s="110"/>
      <c r="O58" s="110"/>
      <c r="P58" s="110"/>
      <c r="Q58" s="110"/>
      <c r="R58" s="110"/>
      <c r="S58" s="110"/>
      <c r="T58" s="110"/>
      <c r="U58" s="110"/>
      <c r="V58" s="110"/>
      <c r="W58" s="110"/>
      <c r="X58" s="110"/>
      <c r="Y58" s="110"/>
      <c r="Z58" s="89"/>
      <c r="AA58" s="89"/>
      <c r="AB58" s="89"/>
      <c r="AC58" s="89"/>
      <c r="AD58" s="89"/>
      <c r="AE58" s="89"/>
      <c r="AF58" s="89"/>
      <c r="AG58" s="89"/>
    </row>
    <row r="59" spans="1:33" x14ac:dyDescent="0.3">
      <c r="J59" s="89"/>
      <c r="K59" s="105" t="s">
        <v>64</v>
      </c>
      <c r="L59" s="105">
        <v>33</v>
      </c>
      <c r="M59" s="109"/>
      <c r="N59" s="110"/>
      <c r="O59" s="110"/>
      <c r="P59" s="110"/>
      <c r="Q59" s="110"/>
      <c r="R59" s="110"/>
      <c r="S59" s="110"/>
      <c r="T59" s="110"/>
      <c r="U59" s="110"/>
      <c r="V59" s="110"/>
      <c r="W59" s="110"/>
      <c r="X59" s="110"/>
      <c r="Y59" s="110"/>
      <c r="Z59" s="89"/>
      <c r="AA59" s="89"/>
      <c r="AB59" s="89"/>
      <c r="AC59" s="89"/>
      <c r="AD59" s="89"/>
      <c r="AE59" s="89"/>
      <c r="AF59" s="89"/>
      <c r="AG59" s="89"/>
    </row>
    <row r="60" spans="1:33" x14ac:dyDescent="0.3">
      <c r="J60" s="89"/>
      <c r="K60" s="105" t="s">
        <v>65</v>
      </c>
      <c r="L60" s="105">
        <v>44</v>
      </c>
      <c r="M60" s="110" t="s">
        <v>159</v>
      </c>
      <c r="N60" s="98"/>
      <c r="O60" s="98"/>
      <c r="P60" s="98"/>
      <c r="Q60" s="89"/>
      <c r="R60" s="89"/>
      <c r="S60" s="89"/>
      <c r="T60" s="89"/>
      <c r="U60" s="89"/>
      <c r="V60" s="89"/>
      <c r="W60" s="89"/>
      <c r="X60" s="89"/>
      <c r="Y60" s="89"/>
      <c r="Z60" s="89"/>
      <c r="AA60" s="89"/>
      <c r="AB60" s="89"/>
      <c r="AC60" s="89"/>
      <c r="AD60" s="89"/>
      <c r="AE60" s="89"/>
      <c r="AF60" s="89"/>
      <c r="AG60" s="89"/>
    </row>
    <row r="61" spans="1:33" x14ac:dyDescent="0.3">
      <c r="J61" s="89"/>
      <c r="K61" s="105" t="s">
        <v>66</v>
      </c>
      <c r="L61" s="105">
        <v>47</v>
      </c>
      <c r="M61" s="109" t="s">
        <v>94</v>
      </c>
      <c r="N61" s="89"/>
      <c r="O61" s="89"/>
      <c r="P61" s="89"/>
      <c r="Q61" s="89"/>
      <c r="R61" s="89"/>
      <c r="S61" s="89"/>
      <c r="T61" s="89"/>
      <c r="U61" s="89"/>
      <c r="V61" s="89"/>
      <c r="W61" s="89"/>
      <c r="X61" s="89"/>
      <c r="Y61" s="89"/>
      <c r="Z61" s="89"/>
      <c r="AA61" s="89"/>
      <c r="AB61" s="89"/>
      <c r="AC61" s="89"/>
      <c r="AD61" s="89"/>
      <c r="AE61" s="89"/>
      <c r="AF61" s="89"/>
      <c r="AG61" s="89"/>
    </row>
    <row r="62" spans="1:33" x14ac:dyDescent="0.3">
      <c r="J62" s="89"/>
      <c r="K62" s="105" t="s">
        <v>67</v>
      </c>
      <c r="L62" s="105">
        <v>39</v>
      </c>
      <c r="M62" s="109">
        <v>10</v>
      </c>
      <c r="N62" s="89">
        <v>1.05</v>
      </c>
      <c r="O62" s="89"/>
      <c r="P62" s="89"/>
      <c r="Q62" s="89"/>
      <c r="R62" s="89"/>
      <c r="S62" s="89"/>
      <c r="T62" s="89"/>
      <c r="U62" s="89"/>
      <c r="V62" s="89"/>
      <c r="W62" s="89"/>
      <c r="X62" s="89"/>
      <c r="Y62" s="89"/>
      <c r="Z62" s="89"/>
      <c r="AA62" s="89"/>
      <c r="AB62" s="89"/>
      <c r="AC62" s="89"/>
      <c r="AD62" s="89"/>
      <c r="AE62" s="89"/>
      <c r="AF62" s="89"/>
      <c r="AG62" s="89"/>
    </row>
    <row r="63" spans="1:33" x14ac:dyDescent="0.3">
      <c r="J63" s="89"/>
      <c r="K63" s="105" t="s">
        <v>68</v>
      </c>
      <c r="L63" s="105">
        <v>50</v>
      </c>
      <c r="M63" s="109">
        <v>15</v>
      </c>
      <c r="N63" s="89">
        <v>1.0900000000000001</v>
      </c>
      <c r="O63" s="89"/>
      <c r="P63" s="88" t="s">
        <v>159</v>
      </c>
      <c r="Q63" s="88" t="s">
        <v>165</v>
      </c>
      <c r="R63" s="88" t="s">
        <v>166</v>
      </c>
      <c r="S63" s="105" t="s">
        <v>167</v>
      </c>
      <c r="T63" s="105" t="s">
        <v>168</v>
      </c>
      <c r="U63" s="111" t="s">
        <v>160</v>
      </c>
      <c r="V63" s="89"/>
      <c r="W63" s="89"/>
      <c r="X63" s="89"/>
      <c r="Y63" s="89"/>
      <c r="Z63" s="89"/>
      <c r="AA63" s="89"/>
      <c r="AB63" s="89"/>
      <c r="AC63" s="89"/>
      <c r="AD63" s="89"/>
      <c r="AE63" s="89"/>
      <c r="AF63" s="89"/>
      <c r="AG63" s="89"/>
    </row>
    <row r="64" spans="1:33" x14ac:dyDescent="0.3">
      <c r="J64" s="89"/>
      <c r="K64" s="105" t="s">
        <v>69</v>
      </c>
      <c r="L64" s="105">
        <v>39</v>
      </c>
      <c r="M64" s="109">
        <v>20</v>
      </c>
      <c r="N64" s="89">
        <v>1.1200000000000001</v>
      </c>
      <c r="O64" s="89"/>
      <c r="P64" s="88">
        <f>C13</f>
        <v>20</v>
      </c>
      <c r="Q64" s="88">
        <f>VLOOKUP(P64,M62:N75,1,TRUE)</f>
        <v>20</v>
      </c>
      <c r="R64" s="88">
        <f>INDEX(M62:M75,MATCH(Q64,M62:M75)+1)</f>
        <v>30</v>
      </c>
      <c r="S64" s="88">
        <f>VLOOKUP(P64,M62:N75,2,TRUE)</f>
        <v>1.1200000000000001</v>
      </c>
      <c r="T64" s="88">
        <f>INDEX(N62:N75,MATCH(S64,N62:N75)+1)</f>
        <v>1.1499999999999999</v>
      </c>
      <c r="U64" s="108">
        <f>S64+(T64-S64)/(R64-Q64)*(P64-Q64)</f>
        <v>1.1200000000000001</v>
      </c>
      <c r="V64" s="89"/>
      <c r="W64" s="89"/>
      <c r="X64" s="89"/>
      <c r="Y64" s="89"/>
      <c r="Z64" s="89"/>
      <c r="AA64" s="89"/>
      <c r="AB64" s="89"/>
      <c r="AC64" s="89"/>
      <c r="AD64" s="89"/>
      <c r="AE64" s="89"/>
      <c r="AF64" s="89"/>
      <c r="AG64" s="89"/>
    </row>
    <row r="65" spans="10:33" x14ac:dyDescent="0.3">
      <c r="J65" s="89"/>
      <c r="K65" s="105" t="s">
        <v>70</v>
      </c>
      <c r="L65" s="105">
        <v>47</v>
      </c>
      <c r="M65" s="109">
        <v>30</v>
      </c>
      <c r="N65" s="89">
        <v>1.1499999999999999</v>
      </c>
      <c r="O65" s="89"/>
      <c r="P65" s="89"/>
      <c r="Q65" s="89"/>
      <c r="R65" s="89"/>
      <c r="S65" s="89"/>
      <c r="T65" s="89"/>
      <c r="U65" s="89"/>
      <c r="V65" s="89"/>
      <c r="W65" s="89"/>
      <c r="X65" s="89"/>
      <c r="Y65" s="89"/>
      <c r="Z65" s="89"/>
      <c r="AA65" s="89"/>
      <c r="AB65" s="89"/>
      <c r="AC65" s="89"/>
      <c r="AD65" s="89"/>
      <c r="AE65" s="89"/>
      <c r="AF65" s="89"/>
      <c r="AG65" s="89"/>
    </row>
    <row r="66" spans="10:33" x14ac:dyDescent="0.3">
      <c r="J66" s="89"/>
      <c r="K66" s="105" t="s">
        <v>71</v>
      </c>
      <c r="L66" s="105">
        <v>47</v>
      </c>
      <c r="M66" s="109">
        <v>50</v>
      </c>
      <c r="N66" s="89">
        <v>1.2</v>
      </c>
      <c r="O66" s="89"/>
      <c r="P66" s="89"/>
      <c r="Q66" s="89"/>
      <c r="R66" s="89"/>
      <c r="S66" s="89"/>
      <c r="T66" s="89"/>
      <c r="U66" s="89"/>
      <c r="V66" s="89"/>
      <c r="W66" s="89"/>
      <c r="X66" s="89"/>
      <c r="Y66" s="89"/>
      <c r="Z66" s="89"/>
      <c r="AA66" s="89"/>
      <c r="AB66" s="89"/>
      <c r="AC66" s="89"/>
      <c r="AD66" s="89"/>
      <c r="AE66" s="89"/>
      <c r="AF66" s="89"/>
      <c r="AG66" s="89"/>
    </row>
    <row r="67" spans="10:33" x14ac:dyDescent="0.3">
      <c r="J67" s="89"/>
      <c r="K67" s="105" t="s">
        <v>72</v>
      </c>
      <c r="L67" s="105">
        <v>50</v>
      </c>
      <c r="M67" s="115">
        <v>100</v>
      </c>
      <c r="N67" s="89">
        <v>1.26</v>
      </c>
      <c r="O67" s="89"/>
      <c r="P67" s="89"/>
      <c r="Q67" s="89"/>
      <c r="R67" s="89"/>
      <c r="S67" s="89"/>
      <c r="T67" s="89"/>
      <c r="U67" s="89"/>
      <c r="V67" s="89"/>
      <c r="W67" s="89"/>
      <c r="X67" s="89"/>
      <c r="Y67" s="89"/>
      <c r="Z67" s="89"/>
      <c r="AA67" s="89"/>
      <c r="AB67" s="89"/>
      <c r="AC67" s="89"/>
      <c r="AD67" s="89"/>
      <c r="AE67" s="89"/>
      <c r="AF67" s="89"/>
      <c r="AG67" s="89"/>
    </row>
    <row r="68" spans="10:33" x14ac:dyDescent="0.3">
      <c r="J68" s="89"/>
      <c r="K68" s="105" t="s">
        <v>73</v>
      </c>
      <c r="L68" s="105">
        <v>44</v>
      </c>
      <c r="M68" s="115">
        <v>150</v>
      </c>
      <c r="N68" s="89">
        <v>1.3</v>
      </c>
      <c r="O68" s="89"/>
      <c r="P68" s="89"/>
      <c r="Q68" s="89"/>
      <c r="R68" s="89"/>
      <c r="S68" s="89"/>
      <c r="T68" s="89"/>
      <c r="U68" s="89"/>
      <c r="V68" s="89"/>
      <c r="W68" s="89"/>
      <c r="X68" s="89"/>
      <c r="Y68" s="89"/>
      <c r="Z68" s="89"/>
      <c r="AA68" s="89"/>
      <c r="AB68" s="89"/>
      <c r="AC68" s="89"/>
      <c r="AD68" s="89"/>
      <c r="AE68" s="89"/>
      <c r="AF68" s="89"/>
      <c r="AG68" s="89"/>
    </row>
    <row r="69" spans="10:33" x14ac:dyDescent="0.3">
      <c r="J69" s="89"/>
      <c r="K69" s="105" t="s">
        <v>74</v>
      </c>
      <c r="L69" s="105">
        <v>39</v>
      </c>
      <c r="M69" s="115">
        <v>200</v>
      </c>
      <c r="N69" s="89">
        <v>1.32</v>
      </c>
      <c r="O69" s="89"/>
      <c r="P69" s="89"/>
      <c r="Q69" s="89"/>
      <c r="R69" s="89"/>
      <c r="S69" s="89"/>
      <c r="T69" s="89"/>
      <c r="U69" s="89"/>
      <c r="V69" s="89"/>
      <c r="W69" s="89"/>
      <c r="X69" s="89"/>
      <c r="Y69" s="89"/>
      <c r="Z69" s="89"/>
      <c r="AA69" s="89"/>
      <c r="AB69" s="89"/>
      <c r="AC69" s="89"/>
      <c r="AD69" s="89"/>
      <c r="AE69" s="89"/>
      <c r="AF69" s="89"/>
      <c r="AG69" s="89"/>
    </row>
    <row r="70" spans="10:33" x14ac:dyDescent="0.3">
      <c r="J70" s="89"/>
      <c r="K70" s="105" t="s">
        <v>75</v>
      </c>
      <c r="L70" s="105">
        <v>39</v>
      </c>
      <c r="M70" s="115">
        <v>250</v>
      </c>
      <c r="N70" s="89">
        <v>1.34</v>
      </c>
      <c r="O70" s="89"/>
      <c r="P70" s="89"/>
      <c r="Q70" s="89"/>
      <c r="R70" s="89"/>
      <c r="S70" s="89"/>
      <c r="T70" s="89"/>
      <c r="U70" s="89"/>
      <c r="V70" s="89"/>
      <c r="W70" s="89"/>
      <c r="X70" s="89"/>
      <c r="Y70" s="89"/>
      <c r="Z70" s="89"/>
      <c r="AA70" s="89"/>
      <c r="AB70" s="89"/>
      <c r="AC70" s="89"/>
      <c r="AD70" s="89"/>
      <c r="AE70" s="89"/>
      <c r="AF70" s="89"/>
      <c r="AG70" s="89"/>
    </row>
    <row r="71" spans="10:33" x14ac:dyDescent="0.3">
      <c r="J71" s="89"/>
      <c r="K71" s="105" t="s">
        <v>78</v>
      </c>
      <c r="L71" s="105">
        <v>39</v>
      </c>
      <c r="M71" s="115">
        <v>300</v>
      </c>
      <c r="N71" s="89">
        <v>1.35</v>
      </c>
      <c r="O71" s="89"/>
      <c r="P71" s="89"/>
      <c r="Q71" s="89"/>
      <c r="R71" s="89"/>
      <c r="S71" s="89"/>
      <c r="T71" s="89"/>
      <c r="U71" s="89"/>
      <c r="V71" s="89"/>
      <c r="W71" s="89"/>
      <c r="X71" s="89"/>
      <c r="Y71" s="89"/>
      <c r="Z71" s="89"/>
      <c r="AA71" s="89"/>
      <c r="AB71" s="89"/>
      <c r="AC71" s="89"/>
      <c r="AD71" s="89"/>
      <c r="AE71" s="89"/>
      <c r="AF71" s="89"/>
      <c r="AG71" s="89"/>
    </row>
    <row r="72" spans="10:33" x14ac:dyDescent="0.3">
      <c r="J72" s="89"/>
      <c r="K72" s="105" t="s">
        <v>79</v>
      </c>
      <c r="L72" s="105">
        <v>39</v>
      </c>
      <c r="M72" s="109">
        <v>350</v>
      </c>
      <c r="N72" s="89">
        <v>1.37</v>
      </c>
      <c r="O72" s="89"/>
      <c r="P72" s="89"/>
      <c r="Q72" s="89"/>
      <c r="R72" s="89"/>
      <c r="S72" s="89"/>
      <c r="T72" s="89"/>
      <c r="U72" s="89"/>
      <c r="V72" s="89"/>
      <c r="W72" s="89"/>
      <c r="X72" s="89"/>
      <c r="Y72" s="89"/>
      <c r="Z72" s="89"/>
      <c r="AA72" s="89"/>
      <c r="AB72" s="89"/>
      <c r="AC72" s="89"/>
      <c r="AD72" s="89"/>
      <c r="AE72" s="89"/>
      <c r="AF72" s="89"/>
      <c r="AG72" s="89"/>
    </row>
    <row r="73" spans="10:33" x14ac:dyDescent="0.3">
      <c r="J73" s="89"/>
      <c r="K73" s="105" t="s">
        <v>80</v>
      </c>
      <c r="L73" s="105">
        <v>39</v>
      </c>
      <c r="M73" s="109">
        <v>400</v>
      </c>
      <c r="N73" s="89">
        <v>1.38</v>
      </c>
      <c r="O73" s="89"/>
      <c r="P73" s="89"/>
      <c r="Q73" s="89"/>
      <c r="R73" s="89"/>
      <c r="S73" s="89"/>
      <c r="T73" s="89"/>
      <c r="U73" s="89"/>
      <c r="V73" s="89"/>
      <c r="W73" s="89"/>
      <c r="X73" s="89"/>
      <c r="Y73" s="89"/>
      <c r="Z73" s="89"/>
      <c r="AA73" s="89"/>
      <c r="AB73" s="89"/>
      <c r="AC73" s="89"/>
      <c r="AD73" s="89"/>
      <c r="AE73" s="89"/>
      <c r="AF73" s="89"/>
      <c r="AG73" s="89"/>
    </row>
    <row r="74" spans="10:33" x14ac:dyDescent="0.3">
      <c r="J74" s="89"/>
      <c r="K74" s="105" t="s">
        <v>81</v>
      </c>
      <c r="L74" s="105">
        <v>39</v>
      </c>
      <c r="M74" s="109">
        <v>450</v>
      </c>
      <c r="N74" s="89">
        <v>1.39</v>
      </c>
      <c r="O74" s="89"/>
      <c r="P74" s="89"/>
      <c r="Q74" s="89"/>
      <c r="R74" s="89"/>
      <c r="S74" s="89"/>
      <c r="T74" s="89"/>
      <c r="U74" s="89"/>
      <c r="V74" s="89"/>
      <c r="W74" s="89"/>
      <c r="X74" s="89"/>
      <c r="Y74" s="89"/>
      <c r="Z74" s="89"/>
      <c r="AA74" s="89"/>
      <c r="AB74" s="89"/>
      <c r="AC74" s="89"/>
      <c r="AD74" s="89"/>
      <c r="AE74" s="89"/>
      <c r="AF74" s="89"/>
      <c r="AG74" s="89"/>
    </row>
    <row r="75" spans="10:33" x14ac:dyDescent="0.3">
      <c r="J75" s="89"/>
      <c r="K75" s="105" t="s">
        <v>82</v>
      </c>
      <c r="L75" s="105">
        <v>39</v>
      </c>
      <c r="M75" s="109">
        <v>500</v>
      </c>
      <c r="N75" s="89">
        <v>1.4</v>
      </c>
      <c r="O75" s="89"/>
      <c r="P75" s="89"/>
      <c r="Q75" s="89"/>
      <c r="R75" s="89"/>
      <c r="S75" s="89"/>
      <c r="T75" s="89"/>
      <c r="U75" s="89"/>
      <c r="V75" s="89"/>
      <c r="W75" s="89"/>
      <c r="X75" s="89"/>
      <c r="Y75" s="89"/>
      <c r="Z75" s="89"/>
      <c r="AA75" s="89"/>
      <c r="AB75" s="89"/>
      <c r="AC75" s="89"/>
      <c r="AD75" s="89"/>
      <c r="AE75" s="89"/>
      <c r="AF75" s="89"/>
      <c r="AG75" s="89"/>
    </row>
    <row r="76" spans="10:33" x14ac:dyDescent="0.3">
      <c r="J76" s="89"/>
      <c r="K76" s="105" t="s">
        <v>83</v>
      </c>
      <c r="L76" s="105">
        <v>39</v>
      </c>
      <c r="M76" s="89"/>
      <c r="N76" s="89"/>
      <c r="O76" s="89"/>
      <c r="P76" s="89"/>
      <c r="Q76" s="89"/>
      <c r="R76" s="89"/>
      <c r="S76" s="89"/>
      <c r="T76" s="89"/>
      <c r="U76" s="89"/>
      <c r="V76" s="89"/>
      <c r="W76" s="89"/>
      <c r="X76" s="89"/>
      <c r="Y76" s="89"/>
      <c r="Z76" s="89"/>
      <c r="AA76" s="89"/>
      <c r="AB76" s="89"/>
      <c r="AC76" s="89"/>
      <c r="AD76" s="89"/>
      <c r="AE76" s="89"/>
      <c r="AF76" s="89"/>
      <c r="AG76" s="89"/>
    </row>
    <row r="77" spans="10:33" x14ac:dyDescent="0.3">
      <c r="J77" s="89"/>
      <c r="K77" s="105" t="s">
        <v>84</v>
      </c>
      <c r="L77" s="105">
        <v>44</v>
      </c>
      <c r="M77" s="89"/>
      <c r="N77" s="89"/>
      <c r="O77" s="89"/>
      <c r="P77" s="89"/>
      <c r="Q77" s="89"/>
      <c r="R77" s="89"/>
      <c r="S77" s="89"/>
      <c r="T77" s="89"/>
      <c r="U77" s="89"/>
      <c r="V77" s="89"/>
      <c r="W77" s="89"/>
      <c r="X77" s="89"/>
      <c r="Y77" s="89"/>
      <c r="Z77" s="89"/>
      <c r="AA77" s="89"/>
      <c r="AB77" s="89"/>
      <c r="AC77" s="89"/>
      <c r="AD77" s="89"/>
      <c r="AE77" s="89"/>
      <c r="AF77" s="89"/>
      <c r="AG77" s="89"/>
    </row>
    <row r="78" spans="10:33" x14ac:dyDescent="0.3">
      <c r="J78" s="89"/>
      <c r="K78" s="105" t="s">
        <v>85</v>
      </c>
      <c r="L78" s="105">
        <v>47</v>
      </c>
      <c r="M78" s="89"/>
      <c r="N78" s="89"/>
      <c r="O78" s="89"/>
      <c r="P78" s="89"/>
      <c r="Q78" s="89"/>
      <c r="R78" s="89"/>
      <c r="S78" s="89"/>
      <c r="T78" s="89"/>
      <c r="U78" s="89"/>
      <c r="V78" s="89"/>
      <c r="W78" s="89"/>
      <c r="X78" s="89"/>
      <c r="Y78" s="89"/>
      <c r="Z78" s="89"/>
      <c r="AA78" s="89"/>
      <c r="AB78" s="89"/>
      <c r="AC78" s="89"/>
      <c r="AD78" s="89"/>
      <c r="AE78" s="89"/>
      <c r="AF78" s="89"/>
      <c r="AG78" s="89"/>
    </row>
    <row r="79" spans="10:33" x14ac:dyDescent="0.3">
      <c r="J79" s="89"/>
      <c r="K79" s="105" t="s">
        <v>86</v>
      </c>
      <c r="L79" s="105">
        <v>39</v>
      </c>
      <c r="M79" s="89" t="str">
        <f>C20</f>
        <v>&lt;3 degrees</v>
      </c>
      <c r="N79" s="89"/>
      <c r="O79" s="89"/>
      <c r="P79" s="89"/>
      <c r="Q79" s="89"/>
      <c r="R79" s="89"/>
      <c r="S79" s="89"/>
      <c r="T79" s="89"/>
      <c r="U79" s="89"/>
      <c r="V79" s="89"/>
      <c r="W79" s="89"/>
      <c r="X79" s="89"/>
      <c r="Y79" s="89"/>
      <c r="Z79" s="89"/>
      <c r="AA79" s="89"/>
      <c r="AB79" s="89"/>
      <c r="AC79" s="89"/>
      <c r="AD79" s="89"/>
      <c r="AE79" s="89"/>
      <c r="AF79" s="89"/>
      <c r="AG79" s="89"/>
    </row>
    <row r="80" spans="10:33" x14ac:dyDescent="0.3">
      <c r="J80" s="89"/>
      <c r="K80" s="105" t="s">
        <v>87</v>
      </c>
      <c r="L80" s="105">
        <v>47</v>
      </c>
      <c r="M80" s="112" t="s">
        <v>161</v>
      </c>
      <c r="N80" s="112">
        <f>IF(M79="&lt;3 degrees",1,1.36)</f>
        <v>1</v>
      </c>
      <c r="O80" s="89"/>
      <c r="P80" s="89"/>
      <c r="Q80" s="89"/>
      <c r="R80" s="89"/>
      <c r="S80" s="89"/>
      <c r="T80" s="89"/>
      <c r="U80" s="89"/>
      <c r="V80" s="89"/>
      <c r="W80" s="89"/>
      <c r="X80" s="89"/>
      <c r="Y80" s="89"/>
      <c r="Z80" s="89"/>
      <c r="AA80" s="89"/>
      <c r="AB80" s="89"/>
      <c r="AC80" s="89"/>
      <c r="AD80" s="89"/>
      <c r="AE80" s="89"/>
      <c r="AF80" s="89"/>
      <c r="AG80" s="89"/>
    </row>
    <row r="81" spans="10:33" x14ac:dyDescent="0.3">
      <c r="J81" s="89"/>
      <c r="K81" s="105" t="s">
        <v>88</v>
      </c>
      <c r="L81" s="105">
        <v>44</v>
      </c>
      <c r="M81" s="89"/>
      <c r="N81" s="89"/>
      <c r="O81" s="89"/>
      <c r="P81" s="89"/>
      <c r="Q81" s="89"/>
      <c r="R81" s="89"/>
      <c r="S81" s="89"/>
      <c r="T81" s="89"/>
      <c r="U81" s="89"/>
      <c r="V81" s="89"/>
      <c r="W81" s="89"/>
      <c r="X81" s="89"/>
      <c r="Y81" s="89"/>
      <c r="Z81" s="89"/>
      <c r="AA81" s="89"/>
      <c r="AB81" s="89"/>
      <c r="AC81" s="89"/>
      <c r="AD81" s="89"/>
      <c r="AE81" s="89"/>
      <c r="AF81" s="89"/>
      <c r="AG81" s="89"/>
    </row>
    <row r="82" spans="10:33" x14ac:dyDescent="0.3">
      <c r="J82" s="89"/>
      <c r="K82" s="105" t="s">
        <v>89</v>
      </c>
      <c r="L82" s="105">
        <v>47</v>
      </c>
      <c r="M82" s="89"/>
      <c r="N82" s="89"/>
      <c r="O82" s="89"/>
      <c r="P82" s="89"/>
      <c r="Q82" s="89"/>
      <c r="R82" s="89"/>
      <c r="S82" s="89"/>
      <c r="T82" s="89"/>
      <c r="U82" s="89"/>
      <c r="V82" s="89"/>
      <c r="W82" s="89"/>
      <c r="X82" s="89"/>
      <c r="Y82" s="89"/>
      <c r="Z82" s="89"/>
      <c r="AA82" s="89"/>
      <c r="AB82" s="89"/>
      <c r="AC82" s="89"/>
      <c r="AD82" s="89"/>
      <c r="AE82" s="89"/>
      <c r="AF82" s="89"/>
      <c r="AG82" s="89"/>
    </row>
    <row r="83" spans="10:33" x14ac:dyDescent="0.3">
      <c r="J83" s="89"/>
      <c r="K83" s="105" t="s">
        <v>90</v>
      </c>
      <c r="L83" s="105">
        <v>50</v>
      </c>
      <c r="M83" s="89"/>
      <c r="N83" s="89"/>
      <c r="O83" s="89"/>
      <c r="P83" s="89"/>
      <c r="Q83" s="89"/>
      <c r="R83" s="89"/>
      <c r="S83" s="89"/>
      <c r="T83" s="89"/>
      <c r="U83" s="89"/>
      <c r="V83" s="89"/>
      <c r="W83" s="89"/>
      <c r="X83" s="89"/>
      <c r="Y83" s="89"/>
      <c r="Z83" s="89"/>
      <c r="AA83" s="89"/>
      <c r="AB83" s="89"/>
      <c r="AC83" s="89"/>
      <c r="AD83" s="89"/>
      <c r="AE83" s="89"/>
      <c r="AF83" s="89"/>
      <c r="AG83" s="89"/>
    </row>
    <row r="84" spans="10:33" x14ac:dyDescent="0.3">
      <c r="J84" s="89"/>
      <c r="K84" s="105" t="s">
        <v>91</v>
      </c>
      <c r="L84" s="105">
        <v>50</v>
      </c>
      <c r="M84" s="89"/>
      <c r="N84" s="89"/>
      <c r="O84" s="89"/>
      <c r="P84" s="89"/>
      <c r="Q84" s="89"/>
      <c r="R84" s="89"/>
      <c r="S84" s="89"/>
      <c r="T84" s="89"/>
      <c r="U84" s="89"/>
      <c r="V84" s="89"/>
      <c r="W84" s="89"/>
      <c r="X84" s="89"/>
      <c r="Y84" s="89"/>
      <c r="Z84" s="89"/>
      <c r="AA84" s="89"/>
      <c r="AB84" s="89"/>
      <c r="AC84" s="89"/>
      <c r="AD84" s="89"/>
      <c r="AE84" s="89"/>
      <c r="AF84" s="89"/>
      <c r="AG84" s="89"/>
    </row>
    <row r="85" spans="10:33" x14ac:dyDescent="0.3">
      <c r="J85" s="89"/>
      <c r="K85" s="89"/>
      <c r="L85" s="89"/>
      <c r="M85" s="89"/>
      <c r="N85" s="89"/>
      <c r="O85" s="89"/>
      <c r="P85" s="89"/>
      <c r="Q85" s="89"/>
      <c r="R85" s="89"/>
      <c r="S85" s="89"/>
      <c r="T85" s="89"/>
      <c r="U85" s="89"/>
      <c r="V85" s="89"/>
      <c r="W85" s="89"/>
      <c r="X85" s="89"/>
      <c r="Y85" s="89"/>
      <c r="Z85" s="89"/>
      <c r="AA85" s="89"/>
      <c r="AB85" s="89"/>
      <c r="AC85" s="89"/>
      <c r="AD85" s="89"/>
      <c r="AE85" s="89"/>
      <c r="AF85" s="89"/>
      <c r="AG85" s="89"/>
    </row>
    <row r="86" spans="10:33" x14ac:dyDescent="0.3">
      <c r="J86" s="10"/>
      <c r="K86" s="23"/>
      <c r="L86" s="23"/>
    </row>
    <row r="87" spans="10:33" x14ac:dyDescent="0.3">
      <c r="J87" s="10"/>
      <c r="K87" s="23"/>
      <c r="L87" s="23"/>
    </row>
  </sheetData>
  <mergeCells count="5">
    <mergeCell ref="C2:K2"/>
    <mergeCell ref="A7:A20"/>
    <mergeCell ref="P25:Q25"/>
    <mergeCell ref="AB30:AC30"/>
    <mergeCell ref="G4:K5"/>
  </mergeCells>
  <phoneticPr fontId="10" type="noConversion"/>
  <dataValidations count="6">
    <dataValidation type="list" allowBlank="1" showInputMessage="1" showErrorMessage="1" sqref="C20" xr:uid="{00000000-0002-0000-0000-000000000000}">
      <formula1>"&lt;3 degrees, &gt;3 degrees"</formula1>
    </dataValidation>
    <dataValidation type="list" allowBlank="1" showInputMessage="1" showErrorMessage="1" sqref="C19" xr:uid="{00000000-0002-0000-0000-000001000000}">
      <formula1>"A,B,C"</formula1>
    </dataValidation>
    <dataValidation type="list" allowBlank="1" showInputMessage="1" showErrorMessage="1" sqref="C18" xr:uid="{00000000-0002-0000-0000-000002000000}">
      <formula1>"I,II,III,IV"</formula1>
    </dataValidation>
    <dataValidation type="list" allowBlank="1" showInputMessage="1" showErrorMessage="1" sqref="C17" xr:uid="{00000000-0002-0000-0000-000003000000}">
      <formula1>"50,5,25,100"</formula1>
    </dataValidation>
    <dataValidation type="list" allowBlank="1" showInputMessage="1" showErrorMessage="1" sqref="C12" xr:uid="{00000000-0002-0000-0000-000004000000}">
      <formula1>"Asbestos cement sheet, Galvanised iron steet"</formula1>
    </dataValidation>
    <dataValidation type="list" allowBlank="1" showInputMessage="1" showErrorMessage="1" sqref="C7" xr:uid="{00000000-0002-0000-0000-000005000000}">
      <formula1>$K$8:$K$87</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77"/>
  <sheetViews>
    <sheetView zoomScaleNormal="100" workbookViewId="0">
      <selection activeCell="D17" sqref="D17"/>
    </sheetView>
  </sheetViews>
  <sheetFormatPr defaultRowHeight="14.4" x14ac:dyDescent="0.3"/>
  <cols>
    <col min="1" max="1" width="7.6640625" customWidth="1"/>
    <col min="2" max="2" width="22.6640625" customWidth="1"/>
    <col min="3" max="5" width="13.6640625" customWidth="1"/>
    <col min="6" max="16" width="7.6640625" customWidth="1"/>
    <col min="17" max="19" width="13.6640625" customWidth="1"/>
    <col min="20" max="21" width="9" bestFit="1" customWidth="1"/>
    <col min="22" max="22" width="10" bestFit="1" customWidth="1"/>
    <col min="23" max="25" width="9" bestFit="1" customWidth="1"/>
  </cols>
  <sheetData>
    <row r="1" spans="1:26" ht="15" thickBot="1" x14ac:dyDescent="0.35"/>
    <row r="2" spans="1:26" ht="18.600000000000001" thickBot="1" x14ac:dyDescent="0.4">
      <c r="D2" s="142" t="s">
        <v>182</v>
      </c>
      <c r="E2" s="143"/>
      <c r="F2" s="143"/>
      <c r="G2" s="143"/>
      <c r="H2" s="143"/>
      <c r="I2" s="143"/>
      <c r="J2" s="143"/>
      <c r="K2" s="143"/>
      <c r="L2" s="144"/>
    </row>
    <row r="3" spans="1:26" ht="15" thickBot="1" x14ac:dyDescent="0.35"/>
    <row r="4" spans="1:26" x14ac:dyDescent="0.3">
      <c r="F4" s="136" t="s">
        <v>233</v>
      </c>
      <c r="G4" s="137"/>
      <c r="H4" s="137"/>
      <c r="I4" s="137"/>
      <c r="J4" s="138"/>
      <c r="K4" s="35"/>
      <c r="L4" s="35"/>
    </row>
    <row r="5" spans="1:26" ht="15" thickBot="1" x14ac:dyDescent="0.35">
      <c r="A5" s="145" t="s">
        <v>209</v>
      </c>
      <c r="B5" s="1" t="s">
        <v>2</v>
      </c>
      <c r="C5" s="29">
        <v>10</v>
      </c>
      <c r="D5" s="13" t="s">
        <v>94</v>
      </c>
      <c r="F5" s="139"/>
      <c r="G5" s="140"/>
      <c r="H5" s="140"/>
      <c r="I5" s="140"/>
      <c r="J5" s="141"/>
      <c r="K5" s="35"/>
      <c r="L5" s="35"/>
    </row>
    <row r="6" spans="1:26" x14ac:dyDescent="0.3">
      <c r="A6" s="145"/>
      <c r="B6" s="1" t="s">
        <v>180</v>
      </c>
      <c r="C6" s="29"/>
      <c r="D6" s="13" t="s">
        <v>94</v>
      </c>
    </row>
    <row r="7" spans="1:26" x14ac:dyDescent="0.3">
      <c r="A7" s="145"/>
      <c r="B7" s="1" t="s">
        <v>111</v>
      </c>
      <c r="C7" s="29">
        <v>25</v>
      </c>
      <c r="D7" s="13" t="s">
        <v>208</v>
      </c>
      <c r="E7" s="32" t="str">
        <f>IF(C7&gt;30,"Angle section can not be designed for this roof angle. Please prefer Channel or I-section.","")</f>
        <v/>
      </c>
      <c r="F7" s="31"/>
      <c r="G7" s="31"/>
      <c r="H7" s="31"/>
      <c r="I7" s="31"/>
      <c r="J7" s="31"/>
      <c r="K7" s="31"/>
      <c r="L7" s="31"/>
      <c r="M7" s="31"/>
      <c r="P7" s="89"/>
      <c r="Q7" s="89"/>
      <c r="R7" s="89"/>
      <c r="S7" s="89"/>
      <c r="T7" s="89"/>
      <c r="U7" s="89"/>
      <c r="V7" s="89"/>
      <c r="W7" s="89"/>
      <c r="X7" s="89"/>
      <c r="Y7" s="89"/>
      <c r="Z7" s="89"/>
    </row>
    <row r="8" spans="1:26" x14ac:dyDescent="0.3">
      <c r="A8" s="145"/>
      <c r="B8" s="1" t="s">
        <v>181</v>
      </c>
      <c r="C8" s="29" t="s">
        <v>219</v>
      </c>
      <c r="D8" s="13"/>
      <c r="P8" s="89"/>
      <c r="Q8" s="89"/>
      <c r="R8" s="89"/>
      <c r="S8" s="89"/>
      <c r="T8" s="89"/>
      <c r="U8" s="89"/>
      <c r="V8" s="89"/>
      <c r="W8" s="89"/>
      <c r="X8" s="89"/>
      <c r="Y8" s="89"/>
      <c r="Z8" s="89"/>
    </row>
    <row r="9" spans="1:26" x14ac:dyDescent="0.3">
      <c r="A9" s="145"/>
      <c r="B9" s="1" t="s">
        <v>206</v>
      </c>
      <c r="C9" s="29">
        <v>1</v>
      </c>
      <c r="D9" s="13" t="s">
        <v>207</v>
      </c>
      <c r="P9" s="89"/>
      <c r="Q9" s="88" t="s">
        <v>186</v>
      </c>
      <c r="R9" s="88" t="s">
        <v>187</v>
      </c>
      <c r="S9" s="88" t="s">
        <v>188</v>
      </c>
      <c r="T9" s="88" t="s">
        <v>189</v>
      </c>
      <c r="U9" s="88" t="s">
        <v>190</v>
      </c>
      <c r="V9" s="89">
        <f>IF(C7&gt;30,0,1)</f>
        <v>1</v>
      </c>
      <c r="W9" s="89"/>
      <c r="X9" s="89"/>
      <c r="Y9" s="89"/>
      <c r="Z9" s="89"/>
    </row>
    <row r="10" spans="1:26" x14ac:dyDescent="0.3">
      <c r="B10" s="1" t="s">
        <v>215</v>
      </c>
      <c r="C10" s="15">
        <v>250</v>
      </c>
      <c r="D10" s="13" t="s">
        <v>216</v>
      </c>
      <c r="P10" s="89">
        <v>1</v>
      </c>
      <c r="Q10" s="88" t="s">
        <v>232</v>
      </c>
      <c r="R10" s="88">
        <v>30</v>
      </c>
      <c r="S10" s="88">
        <v>20</v>
      </c>
      <c r="T10" s="88">
        <v>3</v>
      </c>
      <c r="U10" s="88">
        <v>1.2</v>
      </c>
      <c r="V10" s="89"/>
      <c r="W10" s="89"/>
      <c r="X10" s="89"/>
      <c r="Y10" s="89"/>
      <c r="Z10" s="89"/>
    </row>
    <row r="11" spans="1:26" x14ac:dyDescent="0.3">
      <c r="D11" s="26"/>
      <c r="P11" s="89">
        <v>2</v>
      </c>
      <c r="Q11" s="88" t="s">
        <v>191</v>
      </c>
      <c r="R11" s="88">
        <v>30</v>
      </c>
      <c r="S11" s="88">
        <v>20</v>
      </c>
      <c r="T11" s="88">
        <v>4</v>
      </c>
      <c r="U11" s="88">
        <v>1.5</v>
      </c>
      <c r="V11" s="89">
        <f>C9*C5*C5/10</f>
        <v>10</v>
      </c>
      <c r="W11" s="89">
        <f>IF(C8="UDL",V11,V12)</f>
        <v>10</v>
      </c>
      <c r="X11" s="89"/>
      <c r="Y11" s="89"/>
      <c r="Z11" s="89"/>
    </row>
    <row r="12" spans="1:26" x14ac:dyDescent="0.3">
      <c r="A12" s="146" t="s">
        <v>226</v>
      </c>
      <c r="B12" s="27" t="s">
        <v>210</v>
      </c>
      <c r="C12" s="9">
        <f>IF(V9 =1,(C5*1000/45))</f>
        <v>222.22222222222223</v>
      </c>
      <c r="D12" s="13" t="s">
        <v>214</v>
      </c>
      <c r="P12" s="89">
        <v>3</v>
      </c>
      <c r="Q12" s="88" t="s">
        <v>191</v>
      </c>
      <c r="R12" s="88">
        <v>30</v>
      </c>
      <c r="S12" s="88">
        <v>20</v>
      </c>
      <c r="T12" s="88">
        <v>5</v>
      </c>
      <c r="U12" s="88">
        <v>1.9</v>
      </c>
      <c r="V12" s="89">
        <f>C9*C5/10</f>
        <v>1</v>
      </c>
      <c r="W12" s="89"/>
      <c r="X12" s="89"/>
      <c r="Y12" s="89"/>
      <c r="Z12" s="89"/>
    </row>
    <row r="13" spans="1:26" x14ac:dyDescent="0.3">
      <c r="A13" s="146"/>
      <c r="B13" s="27" t="s">
        <v>211</v>
      </c>
      <c r="C13" s="9">
        <f>IF(V9 =1,(C5*1000/60))</f>
        <v>166.66666666666666</v>
      </c>
      <c r="D13" s="13" t="s">
        <v>214</v>
      </c>
      <c r="P13" s="89">
        <v>4</v>
      </c>
      <c r="Q13" s="88" t="s">
        <v>192</v>
      </c>
      <c r="R13" s="88">
        <v>40</v>
      </c>
      <c r="S13" s="88">
        <v>25</v>
      </c>
      <c r="T13" s="88">
        <v>3</v>
      </c>
      <c r="U13" s="88">
        <v>3</v>
      </c>
      <c r="V13" s="89"/>
      <c r="W13" s="89"/>
      <c r="X13" s="89"/>
      <c r="Y13" s="89"/>
      <c r="Z13" s="89"/>
    </row>
    <row r="14" spans="1:26" x14ac:dyDescent="0.3">
      <c r="A14" s="146"/>
      <c r="B14" s="27" t="s">
        <v>212</v>
      </c>
      <c r="C14" s="9">
        <f>IF(V9 =1,W11)</f>
        <v>10</v>
      </c>
      <c r="D14" s="13" t="s">
        <v>213</v>
      </c>
      <c r="P14" s="89">
        <v>5</v>
      </c>
      <c r="Q14" s="88" t="s">
        <v>192</v>
      </c>
      <c r="R14" s="88">
        <v>40</v>
      </c>
      <c r="S14" s="88">
        <v>25</v>
      </c>
      <c r="T14" s="88">
        <v>4</v>
      </c>
      <c r="U14" s="88">
        <v>3.8</v>
      </c>
      <c r="V14" s="89" t="s">
        <v>190</v>
      </c>
      <c r="W14" s="89"/>
      <c r="X14" s="89"/>
      <c r="Y14" s="89"/>
      <c r="Z14" s="89"/>
    </row>
    <row r="15" spans="1:26" x14ac:dyDescent="0.3">
      <c r="A15" s="146"/>
      <c r="B15" s="27" t="s">
        <v>217</v>
      </c>
      <c r="C15" s="9">
        <f>IF(V9 =1,(C14*1000000)/(C10*1000))</f>
        <v>40</v>
      </c>
      <c r="D15" s="28" t="s">
        <v>220</v>
      </c>
      <c r="P15" s="89">
        <v>6</v>
      </c>
      <c r="Q15" s="88" t="s">
        <v>192</v>
      </c>
      <c r="R15" s="88">
        <v>40</v>
      </c>
      <c r="S15" s="88">
        <v>25</v>
      </c>
      <c r="T15" s="88">
        <v>5</v>
      </c>
      <c r="U15" s="88">
        <v>4.5999999999999996</v>
      </c>
      <c r="V15" s="89">
        <f>(5*C9*V16)/(384*C17*2*100000*10000)</f>
        <v>1171.8749999999998</v>
      </c>
      <c r="W15" s="89"/>
      <c r="X15" s="89"/>
      <c r="Y15" s="89"/>
      <c r="Z15" s="89"/>
    </row>
    <row r="16" spans="1:26" x14ac:dyDescent="0.3">
      <c r="A16" s="146"/>
      <c r="B16" s="27" t="s">
        <v>218</v>
      </c>
      <c r="C16" s="24"/>
      <c r="P16" s="89">
        <v>7</v>
      </c>
      <c r="Q16" s="88" t="s">
        <v>192</v>
      </c>
      <c r="R16" s="88">
        <v>40</v>
      </c>
      <c r="S16" s="88">
        <v>25</v>
      </c>
      <c r="T16" s="88">
        <v>6</v>
      </c>
      <c r="U16" s="88">
        <v>5.4</v>
      </c>
      <c r="V16" s="89">
        <f>POWER(C5*1000,4)</f>
        <v>1E+16</v>
      </c>
      <c r="W16" s="89"/>
      <c r="X16" s="89"/>
      <c r="Y16" s="89"/>
      <c r="Z16" s="89"/>
    </row>
    <row r="17" spans="1:26" x14ac:dyDescent="0.3">
      <c r="A17" s="146"/>
      <c r="B17" s="27" t="s">
        <v>230</v>
      </c>
      <c r="C17" s="9">
        <f>IF(V9 =1,C5*1000/180)</f>
        <v>55.555555555555557</v>
      </c>
      <c r="D17" s="28" t="s">
        <v>214</v>
      </c>
      <c r="P17" s="89">
        <v>8</v>
      </c>
      <c r="Q17" s="88" t="s">
        <v>193</v>
      </c>
      <c r="R17" s="88">
        <v>45</v>
      </c>
      <c r="S17" s="88">
        <v>30</v>
      </c>
      <c r="T17" s="88">
        <v>3</v>
      </c>
      <c r="U17" s="88">
        <v>4.4000000000000004</v>
      </c>
      <c r="V17" s="89"/>
      <c r="W17" s="89"/>
      <c r="X17" s="89"/>
      <c r="Y17" s="89"/>
      <c r="Z17" s="89"/>
    </row>
    <row r="18" spans="1:26" x14ac:dyDescent="0.3">
      <c r="A18" s="146"/>
      <c r="B18" s="27" t="s">
        <v>231</v>
      </c>
      <c r="C18" s="9">
        <f>IF(V9 =1,V15)</f>
        <v>1171.8749999999998</v>
      </c>
      <c r="D18" s="28" t="s">
        <v>221</v>
      </c>
      <c r="P18" s="89">
        <v>9</v>
      </c>
      <c r="Q18" s="88" t="s">
        <v>193</v>
      </c>
      <c r="R18" s="88">
        <v>45</v>
      </c>
      <c r="S18" s="88">
        <v>30</v>
      </c>
      <c r="T18" s="88">
        <v>4</v>
      </c>
      <c r="U18" s="88">
        <v>5.7</v>
      </c>
      <c r="V18" s="88" t="s">
        <v>162</v>
      </c>
      <c r="W18" s="89"/>
      <c r="X18" s="89"/>
      <c r="Y18" s="89"/>
      <c r="Z18" s="89"/>
    </row>
    <row r="19" spans="1:26" x14ac:dyDescent="0.3">
      <c r="A19" s="146"/>
      <c r="B19" s="27" t="s">
        <v>227</v>
      </c>
      <c r="C19" s="34" t="str">
        <f>IF(V9 =1,V20)</f>
        <v>200x100</v>
      </c>
      <c r="E19" s="147"/>
      <c r="F19" s="147"/>
      <c r="G19" s="147"/>
      <c r="P19" s="89">
        <v>10</v>
      </c>
      <c r="Q19" s="88" t="s">
        <v>193</v>
      </c>
      <c r="R19" s="88">
        <v>45</v>
      </c>
      <c r="S19" s="88">
        <v>30</v>
      </c>
      <c r="T19" s="88">
        <v>5</v>
      </c>
      <c r="U19" s="88">
        <v>6.9</v>
      </c>
      <c r="V19" s="88">
        <v>1210</v>
      </c>
      <c r="W19" s="89"/>
      <c r="X19" s="89"/>
      <c r="Y19" s="89"/>
      <c r="Z19" s="89"/>
    </row>
    <row r="20" spans="1:26" x14ac:dyDescent="0.3">
      <c r="A20" s="146"/>
      <c r="B20" s="27" t="s">
        <v>228</v>
      </c>
      <c r="C20" s="9">
        <f>IF(V9 =1,V19)</f>
        <v>1210</v>
      </c>
      <c r="D20" s="28" t="s">
        <v>221</v>
      </c>
      <c r="P20" s="89">
        <v>11</v>
      </c>
      <c r="Q20" s="88" t="s">
        <v>193</v>
      </c>
      <c r="R20" s="88">
        <v>45</v>
      </c>
      <c r="S20" s="88">
        <v>30</v>
      </c>
      <c r="T20" s="88">
        <v>6</v>
      </c>
      <c r="U20" s="88">
        <v>8</v>
      </c>
      <c r="V20" s="88" t="s">
        <v>184</v>
      </c>
      <c r="W20" s="89">
        <v>200</v>
      </c>
      <c r="X20" s="89">
        <v>100</v>
      </c>
      <c r="Y20" s="89">
        <v>10</v>
      </c>
      <c r="Z20" s="89"/>
    </row>
    <row r="21" spans="1:26" x14ac:dyDescent="0.3">
      <c r="A21" s="146"/>
      <c r="B21" s="27" t="s">
        <v>229</v>
      </c>
      <c r="C21" s="9">
        <f>IF(V9=1,(5*C9*V16)/(384*2*100000*C20*10000))</f>
        <v>53.805096418732781</v>
      </c>
      <c r="D21" s="28" t="s">
        <v>214</v>
      </c>
      <c r="P21" s="89">
        <v>12</v>
      </c>
      <c r="Q21" s="88" t="s">
        <v>194</v>
      </c>
      <c r="R21" s="88">
        <v>50</v>
      </c>
      <c r="S21" s="88">
        <v>30</v>
      </c>
      <c r="T21" s="88">
        <v>3</v>
      </c>
      <c r="U21" s="88">
        <v>5.9</v>
      </c>
      <c r="V21" s="89"/>
      <c r="W21" s="89"/>
      <c r="X21" s="89"/>
      <c r="Y21" s="89"/>
      <c r="Z21" s="89"/>
    </row>
    <row r="22" spans="1:26" ht="15" thickBot="1" x14ac:dyDescent="0.35">
      <c r="E22" s="33"/>
      <c r="P22" s="89">
        <v>13</v>
      </c>
      <c r="Q22" s="88" t="s">
        <v>194</v>
      </c>
      <c r="R22" s="88">
        <v>50</v>
      </c>
      <c r="S22" s="88">
        <v>30</v>
      </c>
      <c r="T22" s="88">
        <v>4</v>
      </c>
      <c r="U22" s="88">
        <v>7.7</v>
      </c>
      <c r="V22" s="89">
        <f>W20/Y20</f>
        <v>20</v>
      </c>
      <c r="W22" s="89"/>
      <c r="X22" s="89"/>
      <c r="Y22" s="89"/>
      <c r="Z22" s="89"/>
    </row>
    <row r="23" spans="1:26" ht="15" thickBot="1" x14ac:dyDescent="0.35">
      <c r="B23" s="116" t="s">
        <v>222</v>
      </c>
      <c r="C23" s="117" t="str">
        <f>IF(V9=1,IF(C21&lt;C17,"SAFE","Not SAFE"))</f>
        <v>SAFE</v>
      </c>
      <c r="P23" s="89">
        <v>14</v>
      </c>
      <c r="Q23" s="88" t="s">
        <v>194</v>
      </c>
      <c r="R23" s="88">
        <v>50</v>
      </c>
      <c r="S23" s="88">
        <v>30</v>
      </c>
      <c r="T23" s="88">
        <v>5</v>
      </c>
      <c r="U23" s="88">
        <v>9.3000000000000007</v>
      </c>
      <c r="V23" s="89">
        <f>X20/Y20</f>
        <v>10</v>
      </c>
      <c r="W23" s="89"/>
      <c r="X23" s="89"/>
      <c r="Y23" s="89"/>
      <c r="Z23" s="89"/>
    </row>
    <row r="24" spans="1:26" x14ac:dyDescent="0.3">
      <c r="P24" s="89">
        <v>15</v>
      </c>
      <c r="Q24" s="88" t="s">
        <v>194</v>
      </c>
      <c r="R24" s="88">
        <v>50</v>
      </c>
      <c r="S24" s="88">
        <v>30</v>
      </c>
      <c r="T24" s="88">
        <v>6</v>
      </c>
      <c r="U24" s="88">
        <v>10.9</v>
      </c>
      <c r="V24" s="89">
        <f>(W20+X20)/Y20</f>
        <v>30</v>
      </c>
      <c r="W24" s="89"/>
      <c r="X24" s="89"/>
      <c r="Y24" s="89"/>
      <c r="Z24" s="89"/>
    </row>
    <row r="25" spans="1:26" ht="15.6" x14ac:dyDescent="0.3">
      <c r="B25" s="85" t="s">
        <v>435</v>
      </c>
      <c r="P25" s="89">
        <v>16</v>
      </c>
      <c r="Q25" s="88" t="s">
        <v>195</v>
      </c>
      <c r="R25" s="88">
        <v>60</v>
      </c>
      <c r="S25" s="88">
        <v>40</v>
      </c>
      <c r="T25" s="88">
        <v>5</v>
      </c>
      <c r="U25" s="88">
        <v>16.899999999999999</v>
      </c>
      <c r="V25" s="89"/>
      <c r="W25" s="89"/>
      <c r="X25" s="89"/>
      <c r="Y25" s="89"/>
      <c r="Z25" s="89"/>
    </row>
    <row r="26" spans="1:26" x14ac:dyDescent="0.3">
      <c r="P26" s="89">
        <v>17</v>
      </c>
      <c r="Q26" s="88" t="s">
        <v>195</v>
      </c>
      <c r="R26" s="88">
        <v>60</v>
      </c>
      <c r="S26" s="88">
        <v>40</v>
      </c>
      <c r="T26" s="88">
        <v>6</v>
      </c>
      <c r="U26" s="88">
        <v>19.899999999999999</v>
      </c>
      <c r="V26" s="89"/>
      <c r="W26" s="89"/>
      <c r="X26" s="89"/>
      <c r="Y26" s="89"/>
      <c r="Z26" s="89"/>
    </row>
    <row r="27" spans="1:26" x14ac:dyDescent="0.3">
      <c r="A27" s="14">
        <v>1</v>
      </c>
      <c r="B27" t="s">
        <v>223</v>
      </c>
      <c r="C27" s="30" t="str">
        <f>IF(V22&lt;=15.7,"Semi-Compact","Redesign")</f>
        <v>Redesign</v>
      </c>
      <c r="P27" s="89">
        <v>18</v>
      </c>
      <c r="Q27" s="88" t="s">
        <v>195</v>
      </c>
      <c r="R27" s="88">
        <v>60</v>
      </c>
      <c r="S27" s="88">
        <v>40</v>
      </c>
      <c r="T27" s="88">
        <v>8</v>
      </c>
      <c r="U27" s="88">
        <v>25.4</v>
      </c>
      <c r="V27" s="89"/>
      <c r="W27" s="89"/>
      <c r="X27" s="89"/>
      <c r="Y27" s="89"/>
      <c r="Z27" s="89"/>
    </row>
    <row r="28" spans="1:26" x14ac:dyDescent="0.3">
      <c r="A28" s="14">
        <v>2</v>
      </c>
      <c r="B28" t="s">
        <v>224</v>
      </c>
      <c r="C28" s="30" t="str">
        <f>IF(V23&lt;=15.7,"Semi-Compact","Redesign")</f>
        <v>Semi-Compact</v>
      </c>
      <c r="P28" s="89">
        <v>19</v>
      </c>
      <c r="Q28" s="88" t="s">
        <v>196</v>
      </c>
      <c r="R28" s="88">
        <v>65</v>
      </c>
      <c r="S28" s="88">
        <v>45</v>
      </c>
      <c r="T28" s="88">
        <v>5</v>
      </c>
      <c r="U28" s="88">
        <v>22.1</v>
      </c>
      <c r="V28" s="89"/>
      <c r="W28" s="89"/>
      <c r="X28" s="89"/>
      <c r="Y28" s="89"/>
      <c r="Z28" s="89"/>
    </row>
    <row r="29" spans="1:26" x14ac:dyDescent="0.3">
      <c r="A29" s="14">
        <v>3</v>
      </c>
      <c r="B29" t="s">
        <v>225</v>
      </c>
      <c r="C29" s="30" t="str">
        <f>IF(V24&lt;=25,"Semi-Compact","Redesign")</f>
        <v>Redesign</v>
      </c>
      <c r="P29" s="89">
        <v>20</v>
      </c>
      <c r="Q29" s="88" t="s">
        <v>196</v>
      </c>
      <c r="R29" s="88">
        <v>65</v>
      </c>
      <c r="S29" s="88">
        <v>45</v>
      </c>
      <c r="T29" s="88">
        <v>6</v>
      </c>
      <c r="U29" s="88">
        <v>26</v>
      </c>
      <c r="V29" s="89"/>
      <c r="W29" s="89"/>
      <c r="X29" s="89"/>
      <c r="Y29" s="89"/>
      <c r="Z29" s="89"/>
    </row>
    <row r="30" spans="1:26" x14ac:dyDescent="0.3">
      <c r="P30" s="89">
        <v>21</v>
      </c>
      <c r="Q30" s="88" t="s">
        <v>196</v>
      </c>
      <c r="R30" s="88">
        <v>65</v>
      </c>
      <c r="S30" s="88">
        <v>45</v>
      </c>
      <c r="T30" s="88">
        <v>8</v>
      </c>
      <c r="U30" s="88">
        <v>33.200000000000003</v>
      </c>
      <c r="V30" s="89"/>
      <c r="W30" s="89"/>
      <c r="X30" s="89"/>
      <c r="Y30" s="89"/>
      <c r="Z30" s="89"/>
    </row>
    <row r="31" spans="1:26" x14ac:dyDescent="0.3">
      <c r="P31" s="89">
        <v>22</v>
      </c>
      <c r="Q31" s="88" t="s">
        <v>197</v>
      </c>
      <c r="R31" s="88">
        <v>70</v>
      </c>
      <c r="S31" s="88">
        <v>45</v>
      </c>
      <c r="T31" s="88">
        <v>5</v>
      </c>
      <c r="U31" s="88">
        <v>27.2</v>
      </c>
      <c r="V31" s="89"/>
      <c r="W31" s="89"/>
      <c r="X31" s="89"/>
      <c r="Y31" s="89"/>
      <c r="Z31" s="89"/>
    </row>
    <row r="32" spans="1:26" x14ac:dyDescent="0.3">
      <c r="P32" s="89">
        <v>23</v>
      </c>
      <c r="Q32" s="88" t="s">
        <v>197</v>
      </c>
      <c r="R32" s="88">
        <v>70</v>
      </c>
      <c r="S32" s="88">
        <v>45</v>
      </c>
      <c r="T32" s="88">
        <v>6</v>
      </c>
      <c r="U32" s="88">
        <v>32</v>
      </c>
      <c r="V32" s="89"/>
      <c r="W32" s="89"/>
      <c r="X32" s="89"/>
      <c r="Y32" s="89"/>
      <c r="Z32" s="89"/>
    </row>
    <row r="33" spans="16:26" x14ac:dyDescent="0.3">
      <c r="P33" s="89">
        <v>24</v>
      </c>
      <c r="Q33" s="88" t="s">
        <v>197</v>
      </c>
      <c r="R33" s="88">
        <v>70</v>
      </c>
      <c r="S33" s="88">
        <v>45</v>
      </c>
      <c r="T33" s="88">
        <v>8</v>
      </c>
      <c r="U33" s="88">
        <v>41</v>
      </c>
      <c r="V33" s="89"/>
      <c r="W33" s="89"/>
      <c r="X33" s="89"/>
      <c r="Y33" s="89"/>
      <c r="Z33" s="89"/>
    </row>
    <row r="34" spans="16:26" x14ac:dyDescent="0.3">
      <c r="P34" s="89">
        <v>25</v>
      </c>
      <c r="Q34" s="88" t="s">
        <v>197</v>
      </c>
      <c r="R34" s="88">
        <v>70</v>
      </c>
      <c r="S34" s="88">
        <v>45</v>
      </c>
      <c r="T34" s="88">
        <v>10</v>
      </c>
      <c r="U34" s="88">
        <v>49.3</v>
      </c>
      <c r="V34" s="89"/>
      <c r="W34" s="89"/>
      <c r="X34" s="89"/>
      <c r="Y34" s="89"/>
      <c r="Z34" s="89"/>
    </row>
    <row r="35" spans="16:26" x14ac:dyDescent="0.3">
      <c r="P35" s="89">
        <v>26</v>
      </c>
      <c r="Q35" s="88" t="s">
        <v>198</v>
      </c>
      <c r="R35" s="88">
        <v>75</v>
      </c>
      <c r="S35" s="88">
        <v>50</v>
      </c>
      <c r="T35" s="88">
        <v>5</v>
      </c>
      <c r="U35" s="88">
        <v>34.1</v>
      </c>
      <c r="V35" s="89"/>
      <c r="W35" s="89"/>
      <c r="X35" s="89"/>
      <c r="Y35" s="89"/>
      <c r="Z35" s="89"/>
    </row>
    <row r="36" spans="16:26" x14ac:dyDescent="0.3">
      <c r="P36" s="89">
        <v>27</v>
      </c>
      <c r="Q36" s="88" t="s">
        <v>198</v>
      </c>
      <c r="R36" s="88">
        <v>75</v>
      </c>
      <c r="S36" s="88">
        <v>50</v>
      </c>
      <c r="T36" s="88">
        <v>6</v>
      </c>
      <c r="U36" s="88">
        <v>40.299999999999997</v>
      </c>
      <c r="V36" s="89"/>
      <c r="W36" s="89"/>
      <c r="X36" s="89"/>
      <c r="Y36" s="89"/>
      <c r="Z36" s="89"/>
    </row>
    <row r="37" spans="16:26" x14ac:dyDescent="0.3">
      <c r="P37" s="89">
        <v>28</v>
      </c>
      <c r="Q37" s="88" t="s">
        <v>198</v>
      </c>
      <c r="R37" s="88">
        <v>75</v>
      </c>
      <c r="S37" s="88">
        <v>50</v>
      </c>
      <c r="T37" s="88">
        <v>8</v>
      </c>
      <c r="U37" s="88">
        <v>51.8</v>
      </c>
      <c r="V37" s="89"/>
      <c r="W37" s="89"/>
      <c r="X37" s="89"/>
      <c r="Y37" s="89"/>
      <c r="Z37" s="89"/>
    </row>
    <row r="38" spans="16:26" x14ac:dyDescent="0.3">
      <c r="P38" s="89">
        <v>29</v>
      </c>
      <c r="Q38" s="88" t="s">
        <v>198</v>
      </c>
      <c r="R38" s="88">
        <v>75</v>
      </c>
      <c r="S38" s="88">
        <v>50</v>
      </c>
      <c r="T38" s="88">
        <v>10</v>
      </c>
      <c r="U38" s="88">
        <v>62.3</v>
      </c>
      <c r="V38" s="89"/>
      <c r="W38" s="89"/>
      <c r="X38" s="89"/>
      <c r="Y38" s="89"/>
      <c r="Z38" s="89"/>
    </row>
    <row r="39" spans="16:26" x14ac:dyDescent="0.3">
      <c r="P39" s="89">
        <v>30</v>
      </c>
      <c r="Q39" s="88" t="s">
        <v>199</v>
      </c>
      <c r="R39" s="88">
        <v>80</v>
      </c>
      <c r="S39" s="88">
        <v>50</v>
      </c>
      <c r="T39" s="88">
        <v>5</v>
      </c>
      <c r="U39" s="88">
        <v>40.6</v>
      </c>
      <c r="V39" s="89"/>
      <c r="W39" s="89"/>
      <c r="X39" s="89"/>
      <c r="Y39" s="89"/>
      <c r="Z39" s="89"/>
    </row>
    <row r="40" spans="16:26" x14ac:dyDescent="0.3">
      <c r="P40" s="89">
        <v>31</v>
      </c>
      <c r="Q40" s="88" t="s">
        <v>199</v>
      </c>
      <c r="R40" s="88">
        <v>80</v>
      </c>
      <c r="S40" s="88">
        <v>50</v>
      </c>
      <c r="T40" s="88">
        <v>6</v>
      </c>
      <c r="U40" s="88">
        <v>48</v>
      </c>
      <c r="V40" s="89"/>
      <c r="W40" s="89"/>
      <c r="X40" s="89"/>
      <c r="Y40" s="89"/>
      <c r="Z40" s="89"/>
    </row>
    <row r="41" spans="16:26" x14ac:dyDescent="0.3">
      <c r="P41" s="89">
        <v>32</v>
      </c>
      <c r="Q41" s="88" t="s">
        <v>199</v>
      </c>
      <c r="R41" s="88">
        <v>80</v>
      </c>
      <c r="S41" s="88">
        <v>50</v>
      </c>
      <c r="T41" s="88">
        <v>8</v>
      </c>
      <c r="U41" s="88">
        <v>61.9</v>
      </c>
      <c r="V41" s="89"/>
      <c r="W41" s="89"/>
      <c r="X41" s="89"/>
      <c r="Y41" s="89"/>
      <c r="Z41" s="89"/>
    </row>
    <row r="42" spans="16:26" x14ac:dyDescent="0.3">
      <c r="P42" s="89">
        <v>33</v>
      </c>
      <c r="Q42" s="88" t="s">
        <v>199</v>
      </c>
      <c r="R42" s="88">
        <v>80</v>
      </c>
      <c r="S42" s="88">
        <v>50</v>
      </c>
      <c r="T42" s="88">
        <v>10</v>
      </c>
      <c r="U42" s="88">
        <v>74.7</v>
      </c>
      <c r="V42" s="89"/>
      <c r="W42" s="89"/>
      <c r="X42" s="89"/>
      <c r="Y42" s="89"/>
      <c r="Z42" s="89"/>
    </row>
    <row r="43" spans="16:26" x14ac:dyDescent="0.3">
      <c r="P43" s="89">
        <v>34</v>
      </c>
      <c r="Q43" s="88" t="s">
        <v>200</v>
      </c>
      <c r="R43" s="88">
        <v>90</v>
      </c>
      <c r="S43" s="88">
        <v>60</v>
      </c>
      <c r="T43" s="88">
        <v>6</v>
      </c>
      <c r="U43" s="88">
        <v>70.599999999999994</v>
      </c>
      <c r="V43" s="89"/>
      <c r="W43" s="89"/>
      <c r="X43" s="89"/>
      <c r="Y43" s="89"/>
      <c r="Z43" s="89"/>
    </row>
    <row r="44" spans="16:26" x14ac:dyDescent="0.3">
      <c r="P44" s="89">
        <v>35</v>
      </c>
      <c r="Q44" s="88" t="s">
        <v>200</v>
      </c>
      <c r="R44" s="88">
        <v>90</v>
      </c>
      <c r="S44" s="88">
        <v>60</v>
      </c>
      <c r="T44" s="88">
        <v>8</v>
      </c>
      <c r="U44" s="88">
        <v>91.5</v>
      </c>
      <c r="V44" s="89"/>
      <c r="W44" s="89"/>
      <c r="X44" s="89"/>
      <c r="Y44" s="89"/>
      <c r="Z44" s="89"/>
    </row>
    <row r="45" spans="16:26" x14ac:dyDescent="0.3">
      <c r="P45" s="89">
        <v>36</v>
      </c>
      <c r="Q45" s="88" t="s">
        <v>200</v>
      </c>
      <c r="R45" s="88">
        <v>90</v>
      </c>
      <c r="S45" s="88">
        <v>60</v>
      </c>
      <c r="T45" s="88">
        <v>10</v>
      </c>
      <c r="U45" s="88">
        <v>110.9</v>
      </c>
      <c r="V45" s="89"/>
      <c r="W45" s="89"/>
      <c r="X45" s="89"/>
      <c r="Y45" s="89"/>
      <c r="Z45" s="89"/>
    </row>
    <row r="46" spans="16:26" x14ac:dyDescent="0.3">
      <c r="P46" s="89">
        <v>37</v>
      </c>
      <c r="Q46" s="88" t="s">
        <v>200</v>
      </c>
      <c r="R46" s="88">
        <v>90</v>
      </c>
      <c r="S46" s="88">
        <v>60</v>
      </c>
      <c r="T46" s="88">
        <v>12</v>
      </c>
      <c r="U46" s="88">
        <v>129.1</v>
      </c>
      <c r="V46" s="89"/>
      <c r="W46" s="89"/>
      <c r="X46" s="89"/>
      <c r="Y46" s="89"/>
      <c r="Z46" s="89"/>
    </row>
    <row r="47" spans="16:26" x14ac:dyDescent="0.3">
      <c r="P47" s="89">
        <v>38</v>
      </c>
      <c r="Q47" s="88" t="s">
        <v>201</v>
      </c>
      <c r="R47" s="88">
        <v>100</v>
      </c>
      <c r="S47" s="88">
        <v>65</v>
      </c>
      <c r="T47" s="88">
        <v>6</v>
      </c>
      <c r="U47" s="88">
        <v>96.7</v>
      </c>
      <c r="V47" s="89"/>
      <c r="W47" s="89"/>
      <c r="X47" s="89"/>
      <c r="Y47" s="89"/>
      <c r="Z47" s="89"/>
    </row>
    <row r="48" spans="16:26" x14ac:dyDescent="0.3">
      <c r="P48" s="89">
        <v>39</v>
      </c>
      <c r="Q48" s="88" t="s">
        <v>201</v>
      </c>
      <c r="R48" s="88">
        <v>100</v>
      </c>
      <c r="S48" s="88">
        <v>65</v>
      </c>
      <c r="T48" s="88">
        <v>8</v>
      </c>
      <c r="U48" s="88">
        <v>125.9</v>
      </c>
      <c r="V48" s="89"/>
      <c r="W48" s="89"/>
      <c r="X48" s="89"/>
      <c r="Y48" s="89"/>
      <c r="Z48" s="89"/>
    </row>
    <row r="49" spans="16:26" x14ac:dyDescent="0.3">
      <c r="P49" s="89">
        <v>40</v>
      </c>
      <c r="Q49" s="88" t="s">
        <v>201</v>
      </c>
      <c r="R49" s="88">
        <v>100</v>
      </c>
      <c r="S49" s="88">
        <v>65</v>
      </c>
      <c r="T49" s="88">
        <v>10</v>
      </c>
      <c r="U49" s="88">
        <v>153.19999999999999</v>
      </c>
      <c r="V49" s="89"/>
      <c r="W49" s="89"/>
      <c r="X49" s="89"/>
      <c r="Y49" s="89"/>
      <c r="Z49" s="89"/>
    </row>
    <row r="50" spans="16:26" x14ac:dyDescent="0.3">
      <c r="P50" s="89">
        <v>41</v>
      </c>
      <c r="Q50" s="88" t="s">
        <v>202</v>
      </c>
      <c r="R50" s="88">
        <v>100</v>
      </c>
      <c r="S50" s="88">
        <v>75</v>
      </c>
      <c r="T50" s="88">
        <v>6</v>
      </c>
      <c r="U50" s="88">
        <v>100.9</v>
      </c>
      <c r="V50" s="89"/>
      <c r="W50" s="89"/>
      <c r="X50" s="89"/>
      <c r="Y50" s="89"/>
      <c r="Z50" s="89"/>
    </row>
    <row r="51" spans="16:26" x14ac:dyDescent="0.3">
      <c r="P51" s="89">
        <v>42</v>
      </c>
      <c r="Q51" s="88" t="s">
        <v>202</v>
      </c>
      <c r="R51" s="88">
        <v>100</v>
      </c>
      <c r="S51" s="88">
        <v>75</v>
      </c>
      <c r="T51" s="88">
        <v>8</v>
      </c>
      <c r="U51" s="88">
        <v>131.6</v>
      </c>
      <c r="V51" s="89"/>
      <c r="W51" s="89"/>
      <c r="X51" s="89"/>
      <c r="Y51" s="89"/>
      <c r="Z51" s="89"/>
    </row>
    <row r="52" spans="16:26" x14ac:dyDescent="0.3">
      <c r="P52" s="89">
        <v>43</v>
      </c>
      <c r="Q52" s="88" t="s">
        <v>202</v>
      </c>
      <c r="R52" s="88">
        <v>100</v>
      </c>
      <c r="S52" s="88">
        <v>75</v>
      </c>
      <c r="T52" s="88">
        <v>10</v>
      </c>
      <c r="U52" s="88">
        <v>160.4</v>
      </c>
      <c r="V52" s="89"/>
      <c r="W52" s="89"/>
      <c r="X52" s="89"/>
      <c r="Y52" s="89"/>
      <c r="Z52" s="89"/>
    </row>
    <row r="53" spans="16:26" x14ac:dyDescent="0.3">
      <c r="P53" s="89">
        <v>44</v>
      </c>
      <c r="Q53" s="88" t="s">
        <v>202</v>
      </c>
      <c r="R53" s="88">
        <v>100</v>
      </c>
      <c r="S53" s="88">
        <v>75</v>
      </c>
      <c r="T53" s="88">
        <v>12</v>
      </c>
      <c r="U53" s="88">
        <v>187.5</v>
      </c>
      <c r="V53" s="89"/>
      <c r="W53" s="89"/>
      <c r="X53" s="89"/>
      <c r="Y53" s="89"/>
      <c r="Z53" s="89"/>
    </row>
    <row r="54" spans="16:26" x14ac:dyDescent="0.3">
      <c r="P54" s="89">
        <v>45</v>
      </c>
      <c r="Q54" s="88" t="s">
        <v>203</v>
      </c>
      <c r="R54" s="88">
        <v>125</v>
      </c>
      <c r="S54" s="88">
        <v>75</v>
      </c>
      <c r="T54" s="88">
        <v>6</v>
      </c>
      <c r="U54" s="88">
        <v>187.8</v>
      </c>
      <c r="V54" s="89"/>
      <c r="W54" s="89"/>
      <c r="X54" s="89"/>
      <c r="Y54" s="89"/>
      <c r="Z54" s="89"/>
    </row>
    <row r="55" spans="16:26" x14ac:dyDescent="0.3">
      <c r="P55" s="89">
        <v>46</v>
      </c>
      <c r="Q55" s="88" t="s">
        <v>203</v>
      </c>
      <c r="R55" s="88">
        <v>125</v>
      </c>
      <c r="S55" s="88">
        <v>75</v>
      </c>
      <c r="T55" s="88">
        <v>8</v>
      </c>
      <c r="U55" s="88">
        <v>245.5</v>
      </c>
      <c r="V55" s="89"/>
      <c r="W55" s="89"/>
      <c r="X55" s="89"/>
      <c r="Y55" s="89"/>
      <c r="Z55" s="89"/>
    </row>
    <row r="56" spans="16:26" x14ac:dyDescent="0.3">
      <c r="P56" s="89">
        <v>47</v>
      </c>
      <c r="Q56" s="88" t="s">
        <v>203</v>
      </c>
      <c r="R56" s="88">
        <v>125</v>
      </c>
      <c r="S56" s="88">
        <v>75</v>
      </c>
      <c r="T56" s="88">
        <v>10</v>
      </c>
      <c r="U56" s="88">
        <v>300.3</v>
      </c>
      <c r="V56" s="89"/>
      <c r="W56" s="89"/>
      <c r="X56" s="89"/>
      <c r="Y56" s="89"/>
      <c r="Z56" s="89"/>
    </row>
    <row r="57" spans="16:26" x14ac:dyDescent="0.3">
      <c r="P57" s="89">
        <v>48</v>
      </c>
      <c r="Q57" s="88" t="s">
        <v>204</v>
      </c>
      <c r="R57" s="88">
        <v>125</v>
      </c>
      <c r="S57" s="88">
        <v>95</v>
      </c>
      <c r="T57" s="88">
        <v>6</v>
      </c>
      <c r="U57" s="88">
        <v>203.2</v>
      </c>
      <c r="V57" s="89"/>
      <c r="W57" s="89"/>
      <c r="X57" s="89"/>
      <c r="Y57" s="89"/>
      <c r="Z57" s="89"/>
    </row>
    <row r="58" spans="16:26" x14ac:dyDescent="0.3">
      <c r="P58" s="89">
        <v>49</v>
      </c>
      <c r="Q58" s="88" t="s">
        <v>204</v>
      </c>
      <c r="R58" s="88">
        <v>125</v>
      </c>
      <c r="S58" s="88">
        <v>95</v>
      </c>
      <c r="T58" s="88">
        <v>8</v>
      </c>
      <c r="U58" s="88">
        <v>266</v>
      </c>
      <c r="V58" s="89"/>
      <c r="W58" s="89"/>
      <c r="X58" s="89"/>
      <c r="Y58" s="89"/>
      <c r="Z58" s="89"/>
    </row>
    <row r="59" spans="16:26" x14ac:dyDescent="0.3">
      <c r="P59" s="89">
        <v>50</v>
      </c>
      <c r="Q59" s="88" t="s">
        <v>204</v>
      </c>
      <c r="R59" s="88">
        <v>125</v>
      </c>
      <c r="S59" s="88">
        <v>95</v>
      </c>
      <c r="T59" s="88">
        <v>10</v>
      </c>
      <c r="U59" s="88">
        <v>325.8</v>
      </c>
      <c r="V59" s="89"/>
      <c r="W59" s="89"/>
      <c r="X59" s="89"/>
      <c r="Y59" s="89"/>
      <c r="Z59" s="89"/>
    </row>
    <row r="60" spans="16:26" x14ac:dyDescent="0.3">
      <c r="P60" s="89">
        <v>51</v>
      </c>
      <c r="Q60" s="88" t="s">
        <v>204</v>
      </c>
      <c r="R60" s="88">
        <v>125</v>
      </c>
      <c r="S60" s="88">
        <v>95</v>
      </c>
      <c r="T60" s="88">
        <v>12</v>
      </c>
      <c r="U60" s="88">
        <v>382.6</v>
      </c>
      <c r="V60" s="89"/>
      <c r="W60" s="89"/>
      <c r="X60" s="89"/>
      <c r="Y60" s="89"/>
      <c r="Z60" s="89"/>
    </row>
    <row r="61" spans="16:26" x14ac:dyDescent="0.3">
      <c r="P61" s="89">
        <v>52</v>
      </c>
      <c r="Q61" s="88" t="s">
        <v>205</v>
      </c>
      <c r="R61" s="88">
        <v>150</v>
      </c>
      <c r="S61" s="88">
        <v>75</v>
      </c>
      <c r="T61" s="88">
        <v>8</v>
      </c>
      <c r="U61" s="88">
        <v>407.2</v>
      </c>
      <c r="V61" s="89"/>
      <c r="W61" s="89"/>
      <c r="X61" s="89"/>
      <c r="Y61" s="89"/>
      <c r="Z61" s="89"/>
    </row>
    <row r="62" spans="16:26" x14ac:dyDescent="0.3">
      <c r="P62" s="89">
        <v>53</v>
      </c>
      <c r="Q62" s="88" t="s">
        <v>205</v>
      </c>
      <c r="R62" s="88">
        <v>150</v>
      </c>
      <c r="S62" s="88">
        <v>75</v>
      </c>
      <c r="T62" s="88">
        <v>10</v>
      </c>
      <c r="U62" s="88">
        <v>499.1</v>
      </c>
      <c r="V62" s="89"/>
      <c r="W62" s="89"/>
      <c r="X62" s="89"/>
      <c r="Y62" s="89"/>
      <c r="Z62" s="89"/>
    </row>
    <row r="63" spans="16:26" x14ac:dyDescent="0.3">
      <c r="P63" s="89">
        <v>54</v>
      </c>
      <c r="Q63" s="88" t="s">
        <v>205</v>
      </c>
      <c r="R63" s="88">
        <v>150</v>
      </c>
      <c r="S63" s="88">
        <v>75</v>
      </c>
      <c r="T63" s="88">
        <v>12</v>
      </c>
      <c r="U63" s="88">
        <v>587</v>
      </c>
      <c r="V63" s="89"/>
      <c r="W63" s="89"/>
      <c r="X63" s="89"/>
      <c r="Y63" s="89"/>
      <c r="Z63" s="89"/>
    </row>
    <row r="64" spans="16:26" x14ac:dyDescent="0.3">
      <c r="P64" s="89">
        <v>55</v>
      </c>
      <c r="Q64" s="88" t="s">
        <v>183</v>
      </c>
      <c r="R64" s="88">
        <v>150</v>
      </c>
      <c r="S64" s="88">
        <v>115</v>
      </c>
      <c r="T64" s="88">
        <v>8</v>
      </c>
      <c r="U64" s="88">
        <v>465.7</v>
      </c>
      <c r="V64" s="89"/>
      <c r="W64" s="89"/>
      <c r="X64" s="89"/>
      <c r="Y64" s="89"/>
      <c r="Z64" s="89"/>
    </row>
    <row r="65" spans="16:26" x14ac:dyDescent="0.3">
      <c r="P65" s="89">
        <v>56</v>
      </c>
      <c r="Q65" s="88" t="s">
        <v>183</v>
      </c>
      <c r="R65" s="88">
        <v>150</v>
      </c>
      <c r="S65" s="88">
        <v>115</v>
      </c>
      <c r="T65" s="88">
        <v>10</v>
      </c>
      <c r="U65" s="88">
        <v>573.29999999999995</v>
      </c>
      <c r="V65" s="89"/>
      <c r="W65" s="89"/>
      <c r="X65" s="89"/>
      <c r="Y65" s="89"/>
      <c r="Z65" s="89"/>
    </row>
    <row r="66" spans="16:26" x14ac:dyDescent="0.3">
      <c r="P66" s="89">
        <v>57</v>
      </c>
      <c r="Q66" s="88" t="s">
        <v>183</v>
      </c>
      <c r="R66" s="88">
        <v>150</v>
      </c>
      <c r="S66" s="88">
        <v>115</v>
      </c>
      <c r="T66" s="88">
        <v>12</v>
      </c>
      <c r="U66" s="88">
        <v>676.5</v>
      </c>
      <c r="V66" s="89"/>
      <c r="W66" s="89"/>
      <c r="X66" s="89"/>
      <c r="Y66" s="89"/>
      <c r="Z66" s="89"/>
    </row>
    <row r="67" spans="16:26" x14ac:dyDescent="0.3">
      <c r="P67" s="89">
        <v>58</v>
      </c>
      <c r="Q67" s="88" t="s">
        <v>183</v>
      </c>
      <c r="R67" s="88">
        <v>150</v>
      </c>
      <c r="S67" s="88">
        <v>115</v>
      </c>
      <c r="T67" s="88">
        <v>15</v>
      </c>
      <c r="U67" s="88">
        <v>823.5</v>
      </c>
      <c r="V67" s="89"/>
      <c r="W67" s="89"/>
      <c r="X67" s="89"/>
      <c r="Y67" s="89"/>
      <c r="Z67" s="89"/>
    </row>
    <row r="68" spans="16:26" x14ac:dyDescent="0.3">
      <c r="P68" s="89">
        <v>59</v>
      </c>
      <c r="Q68" s="88" t="s">
        <v>184</v>
      </c>
      <c r="R68" s="88">
        <v>200</v>
      </c>
      <c r="S68" s="88">
        <v>100</v>
      </c>
      <c r="T68" s="88">
        <v>10</v>
      </c>
      <c r="U68" s="88">
        <v>1210</v>
      </c>
      <c r="V68" s="89"/>
      <c r="W68" s="89"/>
      <c r="X68" s="89"/>
      <c r="Y68" s="89"/>
      <c r="Z68" s="89"/>
    </row>
    <row r="69" spans="16:26" x14ac:dyDescent="0.3">
      <c r="P69" s="89">
        <v>60</v>
      </c>
      <c r="Q69" s="88" t="s">
        <v>184</v>
      </c>
      <c r="R69" s="88">
        <v>200</v>
      </c>
      <c r="S69" s="88">
        <v>100</v>
      </c>
      <c r="T69" s="88">
        <v>12</v>
      </c>
      <c r="U69" s="88">
        <v>1431.7</v>
      </c>
      <c r="V69" s="89"/>
      <c r="W69" s="89"/>
      <c r="X69" s="89"/>
      <c r="Y69" s="89"/>
      <c r="Z69" s="89"/>
    </row>
    <row r="70" spans="16:26" x14ac:dyDescent="0.3">
      <c r="P70" s="89">
        <v>61</v>
      </c>
      <c r="Q70" s="88" t="s">
        <v>184</v>
      </c>
      <c r="R70" s="88">
        <v>200</v>
      </c>
      <c r="S70" s="88">
        <v>100</v>
      </c>
      <c r="T70" s="88">
        <v>15</v>
      </c>
      <c r="U70" s="88">
        <v>1750.5</v>
      </c>
      <c r="V70" s="89"/>
      <c r="W70" s="89"/>
      <c r="X70" s="89"/>
      <c r="Y70" s="89"/>
      <c r="Z70" s="89"/>
    </row>
    <row r="71" spans="16:26" x14ac:dyDescent="0.3">
      <c r="P71" s="89">
        <v>62</v>
      </c>
      <c r="Q71" s="88" t="s">
        <v>185</v>
      </c>
      <c r="R71" s="88">
        <v>200</v>
      </c>
      <c r="S71" s="88">
        <v>150</v>
      </c>
      <c r="T71" s="88">
        <v>10</v>
      </c>
      <c r="U71" s="88">
        <v>1377.9</v>
      </c>
      <c r="V71" s="89"/>
      <c r="W71" s="89"/>
      <c r="X71" s="89"/>
      <c r="Y71" s="89"/>
      <c r="Z71" s="89"/>
    </row>
    <row r="72" spans="16:26" x14ac:dyDescent="0.3">
      <c r="P72" s="89">
        <v>63</v>
      </c>
      <c r="Q72" s="88" t="s">
        <v>185</v>
      </c>
      <c r="R72" s="88">
        <v>200</v>
      </c>
      <c r="S72" s="88">
        <v>150</v>
      </c>
      <c r="T72" s="88">
        <v>12</v>
      </c>
      <c r="U72" s="88">
        <v>1634.9</v>
      </c>
      <c r="V72" s="89"/>
      <c r="W72" s="89"/>
      <c r="X72" s="89"/>
      <c r="Y72" s="89"/>
      <c r="Z72" s="89"/>
    </row>
    <row r="73" spans="16:26" x14ac:dyDescent="0.3">
      <c r="P73" s="89">
        <v>64</v>
      </c>
      <c r="Q73" s="88" t="s">
        <v>185</v>
      </c>
      <c r="R73" s="88">
        <v>200</v>
      </c>
      <c r="S73" s="88">
        <v>150</v>
      </c>
      <c r="T73" s="88">
        <v>15</v>
      </c>
      <c r="U73" s="88">
        <v>2005.6</v>
      </c>
      <c r="V73" s="89"/>
      <c r="W73" s="89"/>
      <c r="X73" s="89"/>
      <c r="Y73" s="89"/>
      <c r="Z73" s="89"/>
    </row>
    <row r="74" spans="16:26" x14ac:dyDescent="0.3">
      <c r="P74" s="89">
        <v>65</v>
      </c>
      <c r="Q74" s="88" t="s">
        <v>185</v>
      </c>
      <c r="R74" s="88">
        <v>200</v>
      </c>
      <c r="S74" s="88">
        <v>150</v>
      </c>
      <c r="T74" s="88">
        <v>18</v>
      </c>
      <c r="U74" s="88">
        <v>2359.4</v>
      </c>
      <c r="V74" s="89"/>
      <c r="W74" s="89"/>
      <c r="X74" s="89"/>
      <c r="Y74" s="89"/>
      <c r="Z74" s="89"/>
    </row>
    <row r="75" spans="16:26" x14ac:dyDescent="0.3">
      <c r="P75" s="89">
        <v>66</v>
      </c>
      <c r="Q75" s="88" t="s">
        <v>185</v>
      </c>
      <c r="R75" s="88">
        <v>200</v>
      </c>
      <c r="S75" s="88">
        <v>150</v>
      </c>
      <c r="T75" s="88">
        <v>18</v>
      </c>
      <c r="U75" s="88">
        <v>2359.4</v>
      </c>
      <c r="V75" s="89"/>
      <c r="W75" s="89"/>
      <c r="X75" s="89"/>
      <c r="Y75" s="89"/>
      <c r="Z75" s="89"/>
    </row>
    <row r="76" spans="16:26" x14ac:dyDescent="0.3">
      <c r="P76" s="89">
        <v>67</v>
      </c>
      <c r="Q76" s="88" t="s">
        <v>185</v>
      </c>
      <c r="R76" s="88">
        <v>200</v>
      </c>
      <c r="S76" s="88">
        <v>150</v>
      </c>
      <c r="T76" s="88">
        <v>18</v>
      </c>
      <c r="U76" s="88">
        <v>2359.4</v>
      </c>
      <c r="V76" s="89"/>
      <c r="W76" s="89"/>
      <c r="X76" s="89"/>
      <c r="Y76" s="89"/>
      <c r="Z76" s="89"/>
    </row>
    <row r="77" spans="16:26" x14ac:dyDescent="0.3">
      <c r="P77" s="89"/>
      <c r="Q77" s="89"/>
      <c r="R77" s="89"/>
      <c r="S77" s="89"/>
      <c r="T77" s="89"/>
      <c r="U77" s="89"/>
      <c r="V77" s="89"/>
      <c r="W77" s="89"/>
      <c r="X77" s="89"/>
      <c r="Y77" s="89"/>
      <c r="Z77" s="89"/>
    </row>
  </sheetData>
  <mergeCells count="5">
    <mergeCell ref="D2:L2"/>
    <mergeCell ref="A5:A9"/>
    <mergeCell ref="A12:A21"/>
    <mergeCell ref="E19:G19"/>
    <mergeCell ref="F4:J5"/>
  </mergeCells>
  <phoneticPr fontId="10" type="noConversion"/>
  <dataValidations count="1">
    <dataValidation type="list" allowBlank="1" showInputMessage="1" showErrorMessage="1" sqref="C8" xr:uid="{00000000-0002-0000-0100-000000000000}">
      <formula1>"UDL,Point load"</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K119"/>
  <sheetViews>
    <sheetView topLeftCell="A31" zoomScale="85" zoomScaleNormal="85" workbookViewId="0">
      <selection activeCell="G85" sqref="G85"/>
    </sheetView>
  </sheetViews>
  <sheetFormatPr defaultRowHeight="14.4" x14ac:dyDescent="0.3"/>
  <cols>
    <col min="1" max="1" width="7.6640625" customWidth="1"/>
    <col min="2" max="2" width="32.5546875" customWidth="1"/>
    <col min="3" max="4" width="13.6640625" customWidth="1"/>
    <col min="5" max="5" width="16.6640625" customWidth="1"/>
    <col min="6" max="7" width="13.6640625" customWidth="1"/>
    <col min="8" max="13" width="9.6640625" customWidth="1"/>
    <col min="14" max="14" width="13" bestFit="1" customWidth="1"/>
    <col min="22" max="22" width="10.88671875" customWidth="1"/>
  </cols>
  <sheetData>
    <row r="1" spans="1:37" ht="15" thickBot="1" x14ac:dyDescent="0.35">
      <c r="C1" s="47"/>
      <c r="D1" s="47"/>
      <c r="E1" s="47"/>
      <c r="F1" s="47"/>
      <c r="G1" s="47"/>
      <c r="H1" s="47"/>
      <c r="I1" s="47"/>
      <c r="J1" s="47"/>
      <c r="K1" s="47"/>
      <c r="L1" s="47"/>
      <c r="M1" s="47"/>
      <c r="N1" s="47"/>
      <c r="O1" s="47"/>
      <c r="P1" s="47"/>
      <c r="Q1" s="47"/>
      <c r="R1" s="47"/>
      <c r="S1" s="47"/>
      <c r="T1" s="47"/>
      <c r="U1" s="47"/>
      <c r="V1" s="47"/>
      <c r="W1" s="47"/>
      <c r="X1" s="47"/>
      <c r="Y1" s="47"/>
      <c r="Z1" s="47"/>
      <c r="AA1" s="47"/>
      <c r="AB1" s="47"/>
      <c r="AC1" s="47"/>
      <c r="AD1" s="47"/>
      <c r="AE1" s="47"/>
      <c r="AF1" s="47"/>
      <c r="AG1" s="47"/>
      <c r="AH1" s="47"/>
      <c r="AI1" s="47"/>
      <c r="AJ1" s="47"/>
      <c r="AK1" s="47"/>
    </row>
    <row r="2" spans="1:37" ht="18.600000000000001" thickBot="1" x14ac:dyDescent="0.4">
      <c r="D2" s="142" t="s">
        <v>374</v>
      </c>
      <c r="E2" s="143"/>
      <c r="F2" s="143"/>
      <c r="G2" s="143"/>
      <c r="H2" s="143"/>
      <c r="I2" s="143"/>
      <c r="J2" s="143"/>
      <c r="K2" s="143"/>
      <c r="L2" s="144"/>
    </row>
    <row r="3" spans="1:37" ht="15" thickBot="1" x14ac:dyDescent="0.35"/>
    <row r="4" spans="1:37" x14ac:dyDescent="0.3">
      <c r="I4" s="136" t="s">
        <v>233</v>
      </c>
      <c r="J4" s="137"/>
      <c r="K4" s="137"/>
      <c r="L4" s="137"/>
      <c r="M4" s="138"/>
    </row>
    <row r="5" spans="1:37" ht="15" thickBot="1" x14ac:dyDescent="0.35">
      <c r="A5" s="148" t="s">
        <v>209</v>
      </c>
      <c r="B5" s="1" t="s">
        <v>2</v>
      </c>
      <c r="C5" s="29">
        <v>4</v>
      </c>
      <c r="D5" s="13" t="s">
        <v>94</v>
      </c>
      <c r="I5" s="139"/>
      <c r="J5" s="140"/>
      <c r="K5" s="140"/>
      <c r="L5" s="140"/>
      <c r="M5" s="141"/>
    </row>
    <row r="6" spans="1:37" x14ac:dyDescent="0.3">
      <c r="A6" s="148"/>
      <c r="B6" s="1" t="s">
        <v>111</v>
      </c>
      <c r="C6" s="29">
        <v>32</v>
      </c>
      <c r="D6" s="13" t="s">
        <v>208</v>
      </c>
    </row>
    <row r="7" spans="1:37" x14ac:dyDescent="0.3">
      <c r="A7" s="148"/>
      <c r="B7" s="1" t="s">
        <v>234</v>
      </c>
      <c r="C7" s="29">
        <v>1.5</v>
      </c>
      <c r="D7" s="13" t="s">
        <v>94</v>
      </c>
    </row>
    <row r="8" spans="1:37" x14ac:dyDescent="0.3">
      <c r="A8" s="148"/>
      <c r="B8" s="1" t="s">
        <v>235</v>
      </c>
      <c r="C8" s="29">
        <v>6</v>
      </c>
      <c r="D8" s="13" t="s">
        <v>94</v>
      </c>
    </row>
    <row r="9" spans="1:37" x14ac:dyDescent="0.3">
      <c r="A9" s="148"/>
      <c r="B9" s="1" t="s">
        <v>236</v>
      </c>
      <c r="C9" s="29">
        <v>2</v>
      </c>
      <c r="D9" s="13" t="s">
        <v>94</v>
      </c>
    </row>
    <row r="10" spans="1:37" x14ac:dyDescent="0.3">
      <c r="A10" s="148"/>
      <c r="B10" s="1" t="s">
        <v>237</v>
      </c>
      <c r="C10" s="29">
        <v>0.14000000000000001</v>
      </c>
      <c r="D10" s="13" t="s">
        <v>240</v>
      </c>
    </row>
    <row r="11" spans="1:37" x14ac:dyDescent="0.3">
      <c r="A11" s="148"/>
      <c r="B11" s="1" t="s">
        <v>238</v>
      </c>
      <c r="C11" s="29">
        <v>1.2</v>
      </c>
      <c r="D11" s="13" t="s">
        <v>240</v>
      </c>
    </row>
    <row r="12" spans="1:37" x14ac:dyDescent="0.3">
      <c r="A12" s="148"/>
      <c r="B12" s="1" t="s">
        <v>150</v>
      </c>
      <c r="C12" s="29">
        <v>2</v>
      </c>
      <c r="D12" s="13" t="s">
        <v>240</v>
      </c>
      <c r="U12" s="87"/>
      <c r="V12" s="87"/>
      <c r="W12" s="87"/>
      <c r="X12" s="87"/>
      <c r="Y12" s="87"/>
      <c r="Z12" s="87"/>
      <c r="AA12" s="87"/>
      <c r="AB12" s="87"/>
      <c r="AC12" s="87"/>
      <c r="AD12" s="87"/>
      <c r="AE12" s="87"/>
      <c r="AF12" s="87"/>
      <c r="AG12" s="87"/>
      <c r="AH12" s="87"/>
      <c r="AI12" s="87"/>
      <c r="AJ12" s="87"/>
      <c r="AK12" s="87"/>
    </row>
    <row r="13" spans="1:37" ht="27" customHeight="1" x14ac:dyDescent="0.3">
      <c r="A13" s="148"/>
      <c r="B13" s="2" t="s">
        <v>243</v>
      </c>
      <c r="C13" s="6">
        <v>250</v>
      </c>
      <c r="D13" s="39" t="s">
        <v>242</v>
      </c>
      <c r="E13" s="38" t="s">
        <v>244</v>
      </c>
      <c r="U13" s="87"/>
      <c r="V13" s="90" t="s">
        <v>257</v>
      </c>
      <c r="W13" s="90" t="s">
        <v>258</v>
      </c>
      <c r="X13" s="90" t="s">
        <v>125</v>
      </c>
      <c r="Y13" s="90" t="s">
        <v>259</v>
      </c>
      <c r="Z13" s="90" t="s">
        <v>253</v>
      </c>
      <c r="AA13" s="90" t="s">
        <v>254</v>
      </c>
      <c r="AB13" s="90" t="s">
        <v>255</v>
      </c>
      <c r="AC13" s="90" t="s">
        <v>260</v>
      </c>
      <c r="AD13" s="90" t="s">
        <v>261</v>
      </c>
      <c r="AE13" s="90" t="s">
        <v>262</v>
      </c>
      <c r="AF13" s="90" t="s">
        <v>263</v>
      </c>
      <c r="AG13" s="90" t="s">
        <v>358</v>
      </c>
      <c r="AH13" s="90" t="s">
        <v>356</v>
      </c>
      <c r="AI13" s="90" t="s">
        <v>357</v>
      </c>
      <c r="AJ13" s="90" t="s">
        <v>373</v>
      </c>
      <c r="AK13" s="90" t="s">
        <v>376</v>
      </c>
    </row>
    <row r="14" spans="1:37" x14ac:dyDescent="0.3">
      <c r="A14" s="148"/>
      <c r="B14" s="1" t="s">
        <v>239</v>
      </c>
      <c r="C14" s="36">
        <v>250</v>
      </c>
      <c r="D14" s="13" t="s">
        <v>216</v>
      </c>
      <c r="N14" s="70"/>
      <c r="O14" s="70"/>
      <c r="P14" s="70"/>
      <c r="Q14" s="70"/>
      <c r="R14" s="70"/>
      <c r="S14" s="70"/>
      <c r="T14" s="70"/>
      <c r="U14" s="87"/>
      <c r="V14" s="91" t="s">
        <v>264</v>
      </c>
      <c r="W14" s="91" t="s">
        <v>265</v>
      </c>
      <c r="X14" s="91">
        <v>184.86</v>
      </c>
      <c r="Y14" s="91">
        <v>600</v>
      </c>
      <c r="Z14" s="91">
        <v>250</v>
      </c>
      <c r="AA14" s="91">
        <v>23.6</v>
      </c>
      <c r="AB14" s="91">
        <v>11.8</v>
      </c>
      <c r="AC14" s="91">
        <v>25.01</v>
      </c>
      <c r="AD14" s="91">
        <v>5.35</v>
      </c>
      <c r="AE14" s="91">
        <v>3854.2</v>
      </c>
      <c r="AF14" s="91">
        <v>4341.63</v>
      </c>
      <c r="AG14" s="91">
        <v>18</v>
      </c>
      <c r="AH14" s="92">
        <v>3854.2</v>
      </c>
      <c r="AI14" s="92">
        <v>423.9</v>
      </c>
      <c r="AJ14" s="91">
        <v>115626.6</v>
      </c>
      <c r="AK14" s="91">
        <v>5298.3</v>
      </c>
    </row>
    <row r="15" spans="1:37" x14ac:dyDescent="0.3">
      <c r="N15" s="41"/>
      <c r="O15" s="41"/>
      <c r="P15" s="41"/>
      <c r="Q15" s="43"/>
      <c r="R15" s="43"/>
      <c r="S15" s="43"/>
      <c r="T15" s="42"/>
      <c r="U15" s="87"/>
      <c r="V15" s="91" t="s">
        <v>264</v>
      </c>
      <c r="W15" s="91" t="s">
        <v>266</v>
      </c>
      <c r="X15" s="91">
        <v>170.38</v>
      </c>
      <c r="Y15" s="91">
        <v>600</v>
      </c>
      <c r="Z15" s="91">
        <v>250</v>
      </c>
      <c r="AA15" s="91">
        <v>21.3</v>
      </c>
      <c r="AB15" s="91">
        <v>11.2</v>
      </c>
      <c r="AC15" s="91">
        <v>24.97</v>
      </c>
      <c r="AD15" s="91">
        <v>5.25</v>
      </c>
      <c r="AE15" s="91">
        <v>3540</v>
      </c>
      <c r="AF15" s="91">
        <v>3986.66</v>
      </c>
      <c r="AG15" s="91">
        <v>17</v>
      </c>
      <c r="AH15" s="92">
        <v>3540</v>
      </c>
      <c r="AI15" s="92">
        <v>376.2</v>
      </c>
      <c r="AJ15" s="91">
        <v>106198.5</v>
      </c>
      <c r="AK15" s="91">
        <v>4702.5</v>
      </c>
    </row>
    <row r="16" spans="1:37" ht="15.6" x14ac:dyDescent="0.3">
      <c r="B16" s="8" t="s">
        <v>249</v>
      </c>
      <c r="N16" s="41"/>
      <c r="O16" s="41"/>
      <c r="P16" s="41"/>
      <c r="Q16" s="43"/>
      <c r="R16" s="43"/>
      <c r="S16" s="43"/>
      <c r="T16" s="42"/>
      <c r="U16" s="87"/>
      <c r="V16" s="91" t="s">
        <v>267</v>
      </c>
      <c r="W16" s="91" t="s">
        <v>268</v>
      </c>
      <c r="X16" s="91">
        <v>156.21</v>
      </c>
      <c r="Y16" s="91">
        <v>600</v>
      </c>
      <c r="Z16" s="91">
        <v>210</v>
      </c>
      <c r="AA16" s="91">
        <v>20.8</v>
      </c>
      <c r="AB16" s="91">
        <v>12</v>
      </c>
      <c r="AC16" s="91">
        <v>24.24</v>
      </c>
      <c r="AD16" s="91">
        <v>4.12</v>
      </c>
      <c r="AE16" s="91">
        <v>3060.4</v>
      </c>
      <c r="AF16" s="91">
        <v>3510.63</v>
      </c>
      <c r="AG16" s="91">
        <v>20</v>
      </c>
      <c r="AH16" s="91">
        <v>3060.4</v>
      </c>
      <c r="AI16" s="91">
        <v>252.5</v>
      </c>
      <c r="AJ16" s="91">
        <v>91813</v>
      </c>
      <c r="AK16" s="91">
        <v>2651</v>
      </c>
    </row>
    <row r="17" spans="1:37" x14ac:dyDescent="0.3">
      <c r="N17" s="41"/>
      <c r="O17" s="41"/>
      <c r="P17" s="41"/>
      <c r="Q17" s="43"/>
      <c r="R17" s="43"/>
      <c r="S17" s="43"/>
      <c r="T17" s="43"/>
      <c r="U17" s="87"/>
      <c r="V17" s="91" t="s">
        <v>269</v>
      </c>
      <c r="W17" s="91" t="s">
        <v>270</v>
      </c>
      <c r="X17" s="91">
        <v>143.34</v>
      </c>
      <c r="Y17" s="91">
        <v>550</v>
      </c>
      <c r="Z17" s="91">
        <v>250</v>
      </c>
      <c r="AA17" s="91">
        <v>17.600000000000001</v>
      </c>
      <c r="AB17" s="91">
        <v>10.5</v>
      </c>
      <c r="AC17" s="91">
        <v>22.86</v>
      </c>
      <c r="AD17" s="91">
        <v>5.1100000000000003</v>
      </c>
      <c r="AE17" s="91">
        <v>2723.9</v>
      </c>
      <c r="AF17" s="91">
        <v>3066.29</v>
      </c>
      <c r="AG17" s="91">
        <v>18</v>
      </c>
      <c r="AH17" s="91">
        <v>2359.8000000000002</v>
      </c>
      <c r="AI17" s="91">
        <v>193</v>
      </c>
      <c r="AJ17" s="91">
        <v>74906.100000000006</v>
      </c>
      <c r="AK17" s="91">
        <v>3740.6</v>
      </c>
    </row>
    <row r="18" spans="1:37" x14ac:dyDescent="0.3">
      <c r="A18" s="14">
        <v>1</v>
      </c>
      <c r="B18" s="27" t="s">
        <v>241</v>
      </c>
      <c r="C18" s="9">
        <f>C10*1000*C7*1</f>
        <v>210</v>
      </c>
      <c r="D18" s="28" t="s">
        <v>242</v>
      </c>
      <c r="N18" s="41"/>
      <c r="O18" s="41"/>
      <c r="P18" s="41"/>
      <c r="Q18" s="43"/>
      <c r="R18" s="43"/>
      <c r="S18" s="43"/>
      <c r="T18" s="42"/>
      <c r="U18" s="87"/>
      <c r="V18" s="91" t="s">
        <v>271</v>
      </c>
      <c r="W18" s="91" t="s">
        <v>272</v>
      </c>
      <c r="X18" s="91">
        <v>126.07</v>
      </c>
      <c r="Y18" s="91">
        <v>600</v>
      </c>
      <c r="Z18" s="91">
        <v>210</v>
      </c>
      <c r="AA18" s="91">
        <v>15.5</v>
      </c>
      <c r="AB18" s="91">
        <v>10.5</v>
      </c>
      <c r="AC18" s="91">
        <v>23.98</v>
      </c>
      <c r="AD18" s="91">
        <v>3.79</v>
      </c>
      <c r="AE18" s="91">
        <v>2428.9</v>
      </c>
      <c r="AF18" s="91">
        <v>2798.56</v>
      </c>
      <c r="AG18" s="91">
        <v>20</v>
      </c>
      <c r="AH18" s="91">
        <v>2428.9</v>
      </c>
      <c r="AI18" s="93">
        <v>173.5</v>
      </c>
      <c r="AJ18" s="91">
        <v>72867.600000000006</v>
      </c>
      <c r="AK18" s="91">
        <v>1821.9</v>
      </c>
    </row>
    <row r="19" spans="1:37" x14ac:dyDescent="0.3">
      <c r="A19" s="14">
        <v>2</v>
      </c>
      <c r="B19" s="27" t="s">
        <v>238</v>
      </c>
      <c r="C19" s="9">
        <f>C11*1000*C7*1</f>
        <v>1800</v>
      </c>
      <c r="D19" s="28" t="s">
        <v>242</v>
      </c>
      <c r="N19" s="41"/>
      <c r="O19" s="41"/>
      <c r="P19" s="41"/>
      <c r="Q19" s="43"/>
      <c r="R19" s="43"/>
      <c r="S19" s="43"/>
      <c r="T19" s="42"/>
      <c r="U19" s="87"/>
      <c r="V19" s="91" t="s">
        <v>273</v>
      </c>
      <c r="W19" s="91">
        <v>103.7</v>
      </c>
      <c r="X19" s="91">
        <v>132.11000000000001</v>
      </c>
      <c r="Y19" s="91">
        <v>550</v>
      </c>
      <c r="Z19" s="91">
        <v>190</v>
      </c>
      <c r="AA19" s="91">
        <v>19.3</v>
      </c>
      <c r="AB19" s="91">
        <v>11.2</v>
      </c>
      <c r="AC19" s="91">
        <v>22.16</v>
      </c>
      <c r="AD19" s="91">
        <v>3.73</v>
      </c>
      <c r="AE19" s="91">
        <v>2359.8000000000002</v>
      </c>
      <c r="AF19" s="91">
        <v>2711.98</v>
      </c>
      <c r="AG19" s="91">
        <v>18</v>
      </c>
      <c r="AH19" s="91">
        <v>2359.8000000000002</v>
      </c>
      <c r="AI19" s="91">
        <v>193</v>
      </c>
      <c r="AJ19" s="91">
        <v>64893.599999999999</v>
      </c>
      <c r="AK19" s="91">
        <v>1833.8</v>
      </c>
    </row>
    <row r="20" spans="1:37" x14ac:dyDescent="0.3">
      <c r="A20" s="14">
        <v>3</v>
      </c>
      <c r="B20" s="27" t="s">
        <v>243</v>
      </c>
      <c r="C20" s="9">
        <f>C13</f>
        <v>250</v>
      </c>
      <c r="D20" s="28" t="s">
        <v>242</v>
      </c>
      <c r="N20" s="41"/>
      <c r="O20" s="41"/>
      <c r="P20" s="41"/>
      <c r="Q20" s="43"/>
      <c r="R20" s="43"/>
      <c r="S20" s="43"/>
      <c r="T20" s="42"/>
      <c r="U20" s="87"/>
      <c r="V20" s="91" t="s">
        <v>274</v>
      </c>
      <c r="W20" s="91" t="s">
        <v>275</v>
      </c>
      <c r="X20" s="91">
        <v>121.22</v>
      </c>
      <c r="Y20" s="91">
        <v>500</v>
      </c>
      <c r="Z20" s="91">
        <v>250</v>
      </c>
      <c r="AA20" s="91">
        <v>14.7</v>
      </c>
      <c r="AB20" s="91">
        <v>9.9</v>
      </c>
      <c r="AC20" s="91">
        <v>20.77</v>
      </c>
      <c r="AD20" s="91">
        <v>4.96</v>
      </c>
      <c r="AE20" s="91">
        <v>2091.6</v>
      </c>
      <c r="AF20" s="91">
        <v>2351.35</v>
      </c>
      <c r="AG20" s="91">
        <v>15</v>
      </c>
      <c r="AH20" s="91">
        <v>2091.6</v>
      </c>
      <c r="AI20" s="91">
        <v>239</v>
      </c>
      <c r="AJ20" s="91">
        <v>52290.9</v>
      </c>
      <c r="AK20" s="91">
        <v>2987.8</v>
      </c>
    </row>
    <row r="21" spans="1:37" x14ac:dyDescent="0.3">
      <c r="A21" s="14">
        <v>4</v>
      </c>
      <c r="B21" s="27" t="s">
        <v>245</v>
      </c>
      <c r="C21" s="15">
        <f>1.5*(C18+C19+C20)/1000</f>
        <v>3.39</v>
      </c>
      <c r="D21" s="28" t="s">
        <v>207</v>
      </c>
      <c r="N21" s="41"/>
      <c r="O21" s="41"/>
      <c r="P21" s="41"/>
      <c r="Q21" s="43"/>
      <c r="R21" s="43"/>
      <c r="S21" s="43"/>
      <c r="T21" s="43"/>
      <c r="U21" s="87"/>
      <c r="V21" s="91" t="s">
        <v>276</v>
      </c>
      <c r="W21" s="91" t="s">
        <v>277</v>
      </c>
      <c r="X21" s="91">
        <v>109.97</v>
      </c>
      <c r="Y21" s="91">
        <v>550</v>
      </c>
      <c r="Z21" s="91">
        <v>190</v>
      </c>
      <c r="AA21" s="91">
        <v>15</v>
      </c>
      <c r="AB21" s="91">
        <v>9.9</v>
      </c>
      <c r="AC21" s="91">
        <v>21.99</v>
      </c>
      <c r="AD21" s="91">
        <v>3.48</v>
      </c>
      <c r="AE21" s="91">
        <v>1933.2</v>
      </c>
      <c r="AF21" s="91">
        <v>2228.16</v>
      </c>
      <c r="AG21" s="91">
        <v>18</v>
      </c>
      <c r="AH21" s="91">
        <v>1933.2</v>
      </c>
      <c r="AI21" s="91">
        <v>140.5</v>
      </c>
      <c r="AJ21" s="91">
        <v>53161.599999999999</v>
      </c>
      <c r="AK21" s="91">
        <v>1335.1</v>
      </c>
    </row>
    <row r="22" spans="1:37" x14ac:dyDescent="0.3">
      <c r="A22" s="14"/>
      <c r="N22" s="41"/>
      <c r="O22" s="41"/>
      <c r="P22" s="41"/>
      <c r="Q22" s="43"/>
      <c r="R22" s="43"/>
      <c r="S22" s="42"/>
      <c r="T22" s="42"/>
      <c r="U22" s="87"/>
      <c r="V22" s="91" t="s">
        <v>278</v>
      </c>
      <c r="W22" s="91">
        <v>86.9</v>
      </c>
      <c r="X22" s="91">
        <v>110.74</v>
      </c>
      <c r="Y22" s="91">
        <v>500</v>
      </c>
      <c r="Z22" s="91">
        <v>180</v>
      </c>
      <c r="AA22" s="91">
        <v>17.2</v>
      </c>
      <c r="AB22" s="91">
        <v>10.199999999999999</v>
      </c>
      <c r="AC22" s="91">
        <v>20.21</v>
      </c>
      <c r="AD22" s="91">
        <v>3.52</v>
      </c>
      <c r="AE22" s="91">
        <v>1808.7</v>
      </c>
      <c r="AF22" s="91">
        <v>2074.67</v>
      </c>
      <c r="AG22" s="91">
        <v>17</v>
      </c>
      <c r="AH22" s="91">
        <v>1808.7</v>
      </c>
      <c r="AI22" s="93">
        <v>152.19999999999999</v>
      </c>
      <c r="AJ22" s="91">
        <v>48218.3</v>
      </c>
      <c r="AK22" s="91">
        <v>1369.8</v>
      </c>
    </row>
    <row r="23" spans="1:37" x14ac:dyDescent="0.3">
      <c r="A23" s="14">
        <v>5</v>
      </c>
      <c r="B23" s="27" t="s">
        <v>246</v>
      </c>
      <c r="C23" s="9">
        <f>1.5*C12*C7*1</f>
        <v>4.5</v>
      </c>
      <c r="D23" s="28" t="s">
        <v>207</v>
      </c>
      <c r="N23" s="41"/>
      <c r="O23" s="41"/>
      <c r="P23" s="41"/>
      <c r="Q23" s="43"/>
      <c r="R23" s="43"/>
      <c r="S23" s="43"/>
      <c r="T23" s="42"/>
      <c r="U23" s="87"/>
      <c r="V23" s="91" t="s">
        <v>279</v>
      </c>
      <c r="W23" s="91">
        <v>92.5</v>
      </c>
      <c r="X23" s="91">
        <v>117.89</v>
      </c>
      <c r="Y23" s="91">
        <v>450</v>
      </c>
      <c r="Z23" s="91">
        <v>250</v>
      </c>
      <c r="AA23" s="91">
        <v>13.7</v>
      </c>
      <c r="AB23" s="91">
        <v>11.3</v>
      </c>
      <c r="AC23" s="91">
        <v>18.5</v>
      </c>
      <c r="AD23" s="91">
        <v>5.08</v>
      </c>
      <c r="AE23" s="91">
        <v>1793.3</v>
      </c>
      <c r="AF23" s="91">
        <v>2030.95</v>
      </c>
      <c r="AG23" s="91">
        <v>15</v>
      </c>
      <c r="AH23" s="91">
        <v>1793.3</v>
      </c>
      <c r="AI23" s="91">
        <v>242.1</v>
      </c>
      <c r="AJ23" s="93">
        <v>40349.9</v>
      </c>
      <c r="AK23" s="91">
        <v>3045</v>
      </c>
    </row>
    <row r="24" spans="1:37" x14ac:dyDescent="0.3">
      <c r="A24" s="14"/>
      <c r="C24" s="24"/>
      <c r="N24" s="41"/>
      <c r="O24" s="41"/>
      <c r="P24" s="41"/>
      <c r="Q24" s="43"/>
      <c r="R24" s="43"/>
      <c r="S24" s="43"/>
      <c r="T24" s="42"/>
      <c r="U24" s="87"/>
      <c r="V24" s="91" t="s">
        <v>279</v>
      </c>
      <c r="W24" s="91">
        <v>87.2</v>
      </c>
      <c r="X24" s="91">
        <v>111.14</v>
      </c>
      <c r="Y24" s="91">
        <v>450</v>
      </c>
      <c r="Z24" s="91">
        <v>250</v>
      </c>
      <c r="AA24" s="91">
        <v>13.7</v>
      </c>
      <c r="AB24" s="91">
        <v>9.8000000000000007</v>
      </c>
      <c r="AC24" s="91">
        <v>18.78</v>
      </c>
      <c r="AD24" s="91">
        <v>5.18</v>
      </c>
      <c r="AE24" s="91">
        <v>1742.7</v>
      </c>
      <c r="AF24" s="91">
        <v>1955.03</v>
      </c>
      <c r="AG24" s="91">
        <v>15</v>
      </c>
      <c r="AH24" s="91">
        <v>1742.7</v>
      </c>
      <c r="AI24" s="91">
        <v>238.8</v>
      </c>
      <c r="AJ24" s="91">
        <v>39210.800000000003</v>
      </c>
      <c r="AK24" s="91">
        <v>2985.2</v>
      </c>
    </row>
    <row r="25" spans="1:37" x14ac:dyDescent="0.3">
      <c r="A25" s="14">
        <v>6</v>
      </c>
      <c r="B25" s="27" t="s">
        <v>247</v>
      </c>
      <c r="C25" s="9">
        <f>(COS(RADIANS(C6)))*C21+C23</f>
        <v>7.3748830459702841</v>
      </c>
      <c r="D25" s="28" t="s">
        <v>207</v>
      </c>
      <c r="N25" s="41"/>
      <c r="O25" s="41"/>
      <c r="P25" s="41"/>
      <c r="Q25" s="43"/>
      <c r="R25" s="42"/>
      <c r="S25" s="43"/>
      <c r="T25" s="42"/>
      <c r="U25" s="87"/>
      <c r="V25" s="91" t="s">
        <v>280</v>
      </c>
      <c r="W25" s="91" t="s">
        <v>281</v>
      </c>
      <c r="X25" s="91">
        <v>95.5</v>
      </c>
      <c r="Y25" s="91">
        <v>500</v>
      </c>
      <c r="Z25" s="91">
        <v>180</v>
      </c>
      <c r="AA25" s="91">
        <v>14.1</v>
      </c>
      <c r="AB25" s="91">
        <v>9.1999999999999993</v>
      </c>
      <c r="AC25" s="91">
        <v>20.100000000000001</v>
      </c>
      <c r="AD25" s="91">
        <v>3.34</v>
      </c>
      <c r="AE25" s="91">
        <v>1543.2</v>
      </c>
      <c r="AF25" s="91">
        <v>1773.67</v>
      </c>
      <c r="AG25" s="91">
        <v>17</v>
      </c>
      <c r="AH25" s="93">
        <v>1543.2</v>
      </c>
      <c r="AI25" s="91">
        <v>118.2</v>
      </c>
      <c r="AJ25" s="91">
        <v>38579</v>
      </c>
      <c r="AK25" s="91">
        <v>1063.9000000000001</v>
      </c>
    </row>
    <row r="26" spans="1:37" x14ac:dyDescent="0.3">
      <c r="A26" s="14">
        <v>7</v>
      </c>
      <c r="B26" t="s">
        <v>248</v>
      </c>
      <c r="C26" s="9">
        <f>(SIN(RADIANS(C6)))*C21</f>
        <v>1.7964263057505647</v>
      </c>
      <c r="D26" s="13" t="s">
        <v>207</v>
      </c>
      <c r="N26" s="41"/>
      <c r="O26" s="41"/>
      <c r="P26" s="41"/>
      <c r="Q26" s="43"/>
      <c r="R26" s="43"/>
      <c r="S26" s="42"/>
      <c r="T26" s="42"/>
      <c r="U26" s="87"/>
      <c r="V26" s="91" t="s">
        <v>282</v>
      </c>
      <c r="W26" s="91">
        <v>79.400000000000006</v>
      </c>
      <c r="X26" s="91">
        <v>101.15</v>
      </c>
      <c r="Y26" s="91">
        <v>450</v>
      </c>
      <c r="Z26" s="91">
        <v>200</v>
      </c>
      <c r="AA26" s="91">
        <v>15.4</v>
      </c>
      <c r="AB26" s="91">
        <v>9.1999999999999993</v>
      </c>
      <c r="AC26" s="91">
        <v>18.63</v>
      </c>
      <c r="AD26" s="91">
        <v>4.1100000000000003</v>
      </c>
      <c r="AE26" s="91">
        <v>1558.1</v>
      </c>
      <c r="AF26" s="91">
        <v>1760.59</v>
      </c>
      <c r="AG26" s="91">
        <v>14</v>
      </c>
      <c r="AH26" s="91">
        <v>1558.1</v>
      </c>
      <c r="AI26" s="91">
        <v>170.7</v>
      </c>
      <c r="AJ26" s="94">
        <v>35057.599999999999</v>
      </c>
      <c r="AK26" s="91">
        <v>1706.7</v>
      </c>
    </row>
    <row r="27" spans="1:37" x14ac:dyDescent="0.3">
      <c r="N27" s="41"/>
      <c r="O27" s="41"/>
      <c r="P27" s="41"/>
      <c r="Q27" s="43"/>
      <c r="R27" s="71"/>
      <c r="S27" s="43"/>
      <c r="T27" s="42"/>
      <c r="U27" s="87"/>
      <c r="V27" s="91" t="s">
        <v>283</v>
      </c>
      <c r="W27" s="91">
        <v>82.2</v>
      </c>
      <c r="X27" s="91">
        <v>104.66</v>
      </c>
      <c r="Y27" s="91">
        <v>400</v>
      </c>
      <c r="Z27" s="91">
        <v>250</v>
      </c>
      <c r="AA27" s="91">
        <v>12.7</v>
      </c>
      <c r="AB27" s="91">
        <v>10.6</v>
      </c>
      <c r="AC27" s="91">
        <v>16.61</v>
      </c>
      <c r="AD27" s="91">
        <v>5.16</v>
      </c>
      <c r="AE27" s="91">
        <v>1444.2</v>
      </c>
      <c r="AF27" s="91">
        <v>1626.36</v>
      </c>
      <c r="AG27" s="91">
        <v>14</v>
      </c>
      <c r="AH27" s="91">
        <v>1444.2</v>
      </c>
      <c r="AI27" s="91">
        <v>221.3</v>
      </c>
      <c r="AJ27" s="93">
        <v>28023.5</v>
      </c>
      <c r="AK27" s="93">
        <v>2783</v>
      </c>
    </row>
    <row r="28" spans="1:37" ht="15.6" x14ac:dyDescent="0.3">
      <c r="B28" s="20" t="s">
        <v>250</v>
      </c>
      <c r="N28" s="41"/>
      <c r="O28" s="41"/>
      <c r="P28" s="41"/>
      <c r="Q28" s="43"/>
      <c r="R28" s="42"/>
      <c r="S28" s="43"/>
      <c r="T28" s="43"/>
      <c r="U28" s="87"/>
      <c r="V28" s="91" t="s">
        <v>283</v>
      </c>
      <c r="W28" s="91">
        <v>77.400000000000006</v>
      </c>
      <c r="X28" s="91">
        <v>98.66</v>
      </c>
      <c r="Y28" s="91">
        <v>400</v>
      </c>
      <c r="Z28" s="91">
        <v>250</v>
      </c>
      <c r="AA28" s="91">
        <v>12.7</v>
      </c>
      <c r="AB28" s="91">
        <v>9.1</v>
      </c>
      <c r="AC28" s="91">
        <v>16.87</v>
      </c>
      <c r="AD28" s="91">
        <v>5.26</v>
      </c>
      <c r="AE28" s="91">
        <v>1404.2</v>
      </c>
      <c r="AF28" s="91">
        <v>1556.33</v>
      </c>
      <c r="AG28" s="91">
        <v>14</v>
      </c>
      <c r="AH28" s="93">
        <v>1404.2</v>
      </c>
      <c r="AI28" s="93">
        <v>218.3</v>
      </c>
      <c r="AJ28" s="91">
        <v>28883.5</v>
      </c>
      <c r="AK28" s="91">
        <v>2728.3</v>
      </c>
    </row>
    <row r="29" spans="1:37" x14ac:dyDescent="0.3">
      <c r="N29" s="41"/>
      <c r="O29" s="41"/>
      <c r="P29" s="41"/>
      <c r="Q29" s="43"/>
      <c r="R29" s="43"/>
      <c r="S29" s="43"/>
      <c r="T29" s="43"/>
      <c r="U29" s="87"/>
      <c r="V29" s="91" t="s">
        <v>284</v>
      </c>
      <c r="W29" s="91">
        <v>72.400000000000006</v>
      </c>
      <c r="X29" s="91">
        <v>92.27</v>
      </c>
      <c r="Y29" s="91">
        <v>450</v>
      </c>
      <c r="Z29" s="91">
        <v>150</v>
      </c>
      <c r="AA29" s="91">
        <v>17.399999999999999</v>
      </c>
      <c r="AB29" s="91">
        <v>9.4</v>
      </c>
      <c r="AC29" s="91">
        <v>18.149999999999999</v>
      </c>
      <c r="AD29" s="91">
        <v>3.01</v>
      </c>
      <c r="AE29" s="91">
        <v>1350.7</v>
      </c>
      <c r="AF29" s="91">
        <v>1533.36</v>
      </c>
      <c r="AG29" s="91">
        <v>15</v>
      </c>
      <c r="AH29" s="91">
        <v>1350.7</v>
      </c>
      <c r="AI29" s="91">
        <v>111.2</v>
      </c>
      <c r="AJ29" s="91">
        <v>30390.799999999999</v>
      </c>
      <c r="AK29" s="91">
        <v>834</v>
      </c>
    </row>
    <row r="30" spans="1:37" x14ac:dyDescent="0.3">
      <c r="A30" s="14">
        <v>1</v>
      </c>
      <c r="B30" s="1" t="s">
        <v>368</v>
      </c>
      <c r="C30" s="9">
        <f>C25*C8*C8/8</f>
        <v>33.186973706866276</v>
      </c>
      <c r="D30" s="13" t="s">
        <v>213</v>
      </c>
      <c r="N30" s="41"/>
      <c r="O30" s="41"/>
      <c r="P30" s="41"/>
      <c r="Q30" s="43"/>
      <c r="R30" s="42"/>
      <c r="S30" s="42"/>
      <c r="T30" s="43"/>
      <c r="U30" s="87"/>
      <c r="V30" s="91" t="s">
        <v>285</v>
      </c>
      <c r="W30" s="91" t="s">
        <v>286</v>
      </c>
      <c r="X30" s="91">
        <v>83.14</v>
      </c>
      <c r="Y30" s="91">
        <v>450</v>
      </c>
      <c r="Z30" s="91">
        <v>170</v>
      </c>
      <c r="AA30" s="91">
        <v>13.4</v>
      </c>
      <c r="AB30" s="91">
        <v>8.6</v>
      </c>
      <c r="AC30" s="91">
        <v>18.2</v>
      </c>
      <c r="AD30" s="91">
        <v>3.2</v>
      </c>
      <c r="AE30" s="91">
        <v>1223.8</v>
      </c>
      <c r="AF30" s="91">
        <v>1401.35</v>
      </c>
      <c r="AG30" s="91">
        <v>16</v>
      </c>
      <c r="AH30" s="91">
        <v>1223.8</v>
      </c>
      <c r="AI30" s="91">
        <v>100.4</v>
      </c>
      <c r="AJ30" s="91">
        <v>27536.1</v>
      </c>
      <c r="AK30" s="91">
        <v>853</v>
      </c>
    </row>
    <row r="31" spans="1:37" x14ac:dyDescent="0.3">
      <c r="A31" s="14">
        <v>2</v>
      </c>
      <c r="B31" s="1" t="s">
        <v>251</v>
      </c>
      <c r="C31" s="9">
        <f>C26*C8*C8/8</f>
        <v>8.0839183758775413</v>
      </c>
      <c r="D31" s="13" t="s">
        <v>213</v>
      </c>
      <c r="N31" s="41"/>
      <c r="O31" s="41"/>
      <c r="P31" s="41"/>
      <c r="Q31" s="43"/>
      <c r="R31" s="41"/>
      <c r="S31" s="43"/>
      <c r="T31" s="43"/>
      <c r="U31" s="87"/>
      <c r="V31" s="91" t="s">
        <v>287</v>
      </c>
      <c r="W31" s="91">
        <v>66.7</v>
      </c>
      <c r="X31" s="91">
        <v>85.01</v>
      </c>
      <c r="Y31" s="91">
        <v>400</v>
      </c>
      <c r="Z31" s="91">
        <v>200</v>
      </c>
      <c r="AA31" s="91">
        <v>13</v>
      </c>
      <c r="AB31" s="91">
        <v>8.6</v>
      </c>
      <c r="AC31" s="91">
        <v>16.600000000000001</v>
      </c>
      <c r="AD31" s="91">
        <v>4.04</v>
      </c>
      <c r="AE31" s="91">
        <v>1171.3</v>
      </c>
      <c r="AF31" s="91">
        <v>1290.19</v>
      </c>
      <c r="AG31" s="91">
        <v>13</v>
      </c>
      <c r="AH31" s="91">
        <v>1171.3</v>
      </c>
      <c r="AI31" s="91">
        <v>138.80000000000001</v>
      </c>
      <c r="AJ31" s="91">
        <v>23426.7</v>
      </c>
      <c r="AK31" s="91">
        <v>1388</v>
      </c>
    </row>
    <row r="32" spans="1:37" x14ac:dyDescent="0.3">
      <c r="A32" s="40"/>
      <c r="D32" s="13"/>
      <c r="N32" s="41"/>
      <c r="O32" s="41"/>
      <c r="P32" s="41"/>
      <c r="Q32" s="43"/>
      <c r="R32" s="41"/>
      <c r="S32" s="43"/>
      <c r="T32" s="43"/>
      <c r="U32" s="87"/>
      <c r="V32" s="91" t="s">
        <v>288</v>
      </c>
      <c r="W32" s="91">
        <v>72.400000000000006</v>
      </c>
      <c r="X32" s="91">
        <v>92.21</v>
      </c>
      <c r="Y32" s="91">
        <v>350</v>
      </c>
      <c r="Z32" s="91">
        <v>250</v>
      </c>
      <c r="AA32" s="91">
        <v>11.6</v>
      </c>
      <c r="AB32" s="91">
        <v>10.1</v>
      </c>
      <c r="AC32" s="91">
        <v>14.65</v>
      </c>
      <c r="AD32" s="91">
        <v>5.22</v>
      </c>
      <c r="AE32" s="91">
        <v>1131.5999999999999</v>
      </c>
      <c r="AF32" s="91">
        <v>1268.69</v>
      </c>
      <c r="AG32" s="91">
        <v>12</v>
      </c>
      <c r="AH32" s="91">
        <v>1131.5999999999999</v>
      </c>
      <c r="AI32" s="91">
        <v>199.4</v>
      </c>
      <c r="AJ32" s="91">
        <v>19802.8</v>
      </c>
      <c r="AK32" s="91">
        <v>2510.5</v>
      </c>
    </row>
    <row r="33" spans="1:37" ht="14.4" customHeight="1" x14ac:dyDescent="0.3">
      <c r="A33" s="40"/>
      <c r="B33" s="37" t="s">
        <v>256</v>
      </c>
      <c r="C33" s="6">
        <v>1.5</v>
      </c>
      <c r="D33" s="46"/>
      <c r="N33" s="41"/>
      <c r="O33" s="41"/>
      <c r="P33" s="41"/>
      <c r="Q33" s="43"/>
      <c r="R33" s="41"/>
      <c r="S33" s="42"/>
      <c r="T33" s="43"/>
      <c r="U33" s="87"/>
      <c r="V33" s="91" t="s">
        <v>288</v>
      </c>
      <c r="W33" s="91">
        <v>67.400000000000006</v>
      </c>
      <c r="X33" s="91">
        <v>85.91</v>
      </c>
      <c r="Y33" s="91">
        <v>350</v>
      </c>
      <c r="Z33" s="91">
        <v>250</v>
      </c>
      <c r="AA33" s="91">
        <v>11.6</v>
      </c>
      <c r="AB33" s="91">
        <v>8.3000000000000007</v>
      </c>
      <c r="AC33" s="91">
        <v>14.93</v>
      </c>
      <c r="AD33" s="91">
        <v>5.34</v>
      </c>
      <c r="AE33" s="91">
        <v>1094.8</v>
      </c>
      <c r="AF33" s="91">
        <v>1213.53</v>
      </c>
      <c r="AG33" s="91">
        <v>12</v>
      </c>
      <c r="AH33" s="91">
        <v>1094.8</v>
      </c>
      <c r="AI33" s="91">
        <v>196.1</v>
      </c>
      <c r="AJ33" s="91">
        <v>9159.7000000000007</v>
      </c>
      <c r="AK33" s="91">
        <v>2451.4</v>
      </c>
    </row>
    <row r="34" spans="1:37" x14ac:dyDescent="0.3">
      <c r="A34" s="40"/>
      <c r="C34" s="47"/>
      <c r="D34" s="13"/>
      <c r="G34" s="45"/>
      <c r="H34" s="45"/>
      <c r="I34" s="45"/>
      <c r="J34" s="45"/>
      <c r="K34" s="45"/>
      <c r="L34" s="45"/>
      <c r="M34" s="45"/>
      <c r="N34" s="41"/>
      <c r="O34" s="41"/>
      <c r="P34" s="41"/>
      <c r="Q34" s="43"/>
      <c r="R34" s="41"/>
      <c r="S34" s="43"/>
      <c r="T34" s="43"/>
      <c r="U34" s="87"/>
      <c r="V34" s="91" t="s">
        <v>289</v>
      </c>
      <c r="W34" s="91" t="s">
        <v>290</v>
      </c>
      <c r="X34" s="91">
        <v>78.400000000000006</v>
      </c>
      <c r="Y34" s="91">
        <v>400</v>
      </c>
      <c r="Z34" s="91">
        <v>140</v>
      </c>
      <c r="AA34" s="91">
        <v>16</v>
      </c>
      <c r="AB34" s="91">
        <v>8.9</v>
      </c>
      <c r="AC34" s="91">
        <v>16.05</v>
      </c>
      <c r="AD34" s="91">
        <v>2.84</v>
      </c>
      <c r="AE34" s="91">
        <v>1020</v>
      </c>
      <c r="AF34" s="91">
        <v>1176.18</v>
      </c>
      <c r="AG34" s="91">
        <v>14</v>
      </c>
      <c r="AH34" s="91">
        <v>1022.9</v>
      </c>
      <c r="AI34" s="93">
        <v>88.9</v>
      </c>
      <c r="AJ34" s="91">
        <v>20450.400000000001</v>
      </c>
      <c r="AK34" s="91">
        <v>622.1</v>
      </c>
    </row>
    <row r="35" spans="1:37" x14ac:dyDescent="0.3">
      <c r="A35" s="69">
        <v>3</v>
      </c>
      <c r="B35" t="s">
        <v>252</v>
      </c>
      <c r="C35" s="9">
        <f>((C30*1.1*1000000/C14)+((2.5*C33*1000000*C31*1.1)/(C14)))/1000</f>
        <v>279.40733751219102</v>
      </c>
      <c r="D35" s="13" t="s">
        <v>220</v>
      </c>
      <c r="G35" s="45"/>
      <c r="H35" s="45"/>
      <c r="I35" s="45"/>
      <c r="J35" s="45"/>
      <c r="K35" s="45"/>
      <c r="L35" s="45"/>
      <c r="M35" s="45"/>
      <c r="N35" s="41"/>
      <c r="O35" s="41"/>
      <c r="P35" s="41"/>
      <c r="Q35" s="43"/>
      <c r="R35" s="41"/>
      <c r="S35" s="43"/>
      <c r="T35" s="43"/>
      <c r="U35" s="87"/>
      <c r="V35" s="91" t="s">
        <v>291</v>
      </c>
      <c r="W35" s="91" t="s">
        <v>292</v>
      </c>
      <c r="X35" s="91">
        <v>72.430000000000007</v>
      </c>
      <c r="Y35" s="91">
        <v>400</v>
      </c>
      <c r="Z35" s="91">
        <v>165</v>
      </c>
      <c r="AA35" s="91">
        <v>12.5</v>
      </c>
      <c r="AB35" s="91">
        <v>8</v>
      </c>
      <c r="AC35" s="91">
        <v>16.329999999999998</v>
      </c>
      <c r="AD35" s="91">
        <v>3.15</v>
      </c>
      <c r="AE35" s="91">
        <v>965.3</v>
      </c>
      <c r="AF35" s="91">
        <v>1099.45</v>
      </c>
      <c r="AG35" s="93">
        <v>16</v>
      </c>
      <c r="AH35" s="91">
        <v>965.3</v>
      </c>
      <c r="AI35" s="91">
        <v>86.8</v>
      </c>
      <c r="AJ35" s="91">
        <v>19306.3</v>
      </c>
      <c r="AK35" s="91">
        <v>7164</v>
      </c>
    </row>
    <row r="36" spans="1:37" x14ac:dyDescent="0.3">
      <c r="A36" s="40"/>
      <c r="G36" s="45"/>
      <c r="H36" s="45"/>
      <c r="I36" s="45"/>
      <c r="J36" s="45"/>
      <c r="K36" s="45"/>
      <c r="L36" s="45"/>
      <c r="M36" s="45"/>
      <c r="N36" s="41"/>
      <c r="O36" s="41"/>
      <c r="P36" s="41"/>
      <c r="Q36" s="43"/>
      <c r="R36" s="41"/>
      <c r="S36" s="43"/>
      <c r="T36" s="43"/>
      <c r="U36" s="87"/>
      <c r="V36" s="91" t="s">
        <v>293</v>
      </c>
      <c r="W36" s="91">
        <v>56.9</v>
      </c>
      <c r="X36" s="91">
        <v>72.5</v>
      </c>
      <c r="Y36" s="91">
        <v>350</v>
      </c>
      <c r="Z36" s="91">
        <v>200</v>
      </c>
      <c r="AA36" s="91">
        <v>11.4</v>
      </c>
      <c r="AB36" s="91">
        <v>8</v>
      </c>
      <c r="AC36" s="91">
        <v>14.63</v>
      </c>
      <c r="AD36" s="91">
        <v>4.03</v>
      </c>
      <c r="AE36" s="91">
        <v>887</v>
      </c>
      <c r="AF36" s="91">
        <v>995.49</v>
      </c>
      <c r="AG36" s="91">
        <v>12</v>
      </c>
      <c r="AH36" s="91">
        <v>887</v>
      </c>
      <c r="AI36" s="91">
        <v>117.6</v>
      </c>
      <c r="AJ36" s="91">
        <v>15521.7</v>
      </c>
      <c r="AK36" s="91">
        <v>1175.9000000000001</v>
      </c>
    </row>
    <row r="37" spans="1:37" ht="15.6" x14ac:dyDescent="0.3">
      <c r="A37" s="40"/>
      <c r="B37" s="54" t="s">
        <v>336</v>
      </c>
      <c r="D37" s="13"/>
      <c r="G37" s="45"/>
      <c r="H37" s="45"/>
      <c r="I37" s="45"/>
      <c r="J37" s="45"/>
      <c r="K37" s="45"/>
      <c r="L37" s="45"/>
      <c r="M37" s="45"/>
      <c r="N37" s="41"/>
      <c r="O37" s="41"/>
      <c r="P37" s="41"/>
      <c r="Q37" s="43"/>
      <c r="R37" s="41"/>
      <c r="S37" s="43"/>
      <c r="T37" s="43"/>
      <c r="U37" s="87"/>
      <c r="V37" s="91" t="s">
        <v>294</v>
      </c>
      <c r="W37" s="91">
        <v>63</v>
      </c>
      <c r="X37" s="91">
        <v>80.25</v>
      </c>
      <c r="Y37" s="91">
        <v>300</v>
      </c>
      <c r="Z37" s="91">
        <v>250</v>
      </c>
      <c r="AA37" s="91">
        <v>10.6</v>
      </c>
      <c r="AB37" s="91">
        <v>9.4</v>
      </c>
      <c r="AC37" s="91">
        <v>12.7</v>
      </c>
      <c r="AD37" s="91">
        <v>5.29</v>
      </c>
      <c r="AE37" s="91">
        <v>863.3</v>
      </c>
      <c r="AF37" s="91">
        <v>962.18</v>
      </c>
      <c r="AG37" s="91">
        <v>11</v>
      </c>
      <c r="AH37" s="91">
        <v>863.3</v>
      </c>
      <c r="AI37" s="91">
        <v>178.4</v>
      </c>
      <c r="AJ37" s="91">
        <v>12950.2</v>
      </c>
      <c r="AK37" s="95">
        <v>126557</v>
      </c>
    </row>
    <row r="38" spans="1:37" x14ac:dyDescent="0.3">
      <c r="A38" s="40"/>
      <c r="D38" s="13"/>
      <c r="G38" s="45"/>
      <c r="H38" s="45"/>
      <c r="I38" s="45"/>
      <c r="J38" s="45"/>
      <c r="K38" s="45"/>
      <c r="L38" s="45"/>
      <c r="M38" s="45"/>
      <c r="N38" s="41"/>
      <c r="O38" s="41"/>
      <c r="P38" s="41"/>
      <c r="Q38" s="43"/>
      <c r="R38" s="41"/>
      <c r="S38" s="43"/>
      <c r="T38" s="43"/>
      <c r="U38" s="87"/>
      <c r="V38" s="91" t="s">
        <v>294</v>
      </c>
      <c r="W38" s="91">
        <v>58.8</v>
      </c>
      <c r="X38" s="91">
        <v>74.849999999999994</v>
      </c>
      <c r="Y38" s="91">
        <v>300</v>
      </c>
      <c r="Z38" s="91">
        <v>250</v>
      </c>
      <c r="AA38" s="91">
        <v>10.6</v>
      </c>
      <c r="AB38" s="91">
        <v>7.6</v>
      </c>
      <c r="AC38" s="91">
        <v>12.95</v>
      </c>
      <c r="AD38" s="91">
        <v>5.41</v>
      </c>
      <c r="AE38" s="91">
        <v>836.3</v>
      </c>
      <c r="AF38" s="91">
        <v>921.68</v>
      </c>
      <c r="AG38" s="93">
        <v>11</v>
      </c>
      <c r="AH38" s="91">
        <v>836.3</v>
      </c>
      <c r="AI38" s="91">
        <v>175.5</v>
      </c>
      <c r="AJ38" s="93">
        <v>12545.2</v>
      </c>
      <c r="AK38" s="93">
        <v>2193.6</v>
      </c>
    </row>
    <row r="39" spans="1:37" x14ac:dyDescent="0.3">
      <c r="A39" s="69">
        <v>1</v>
      </c>
      <c r="B39" s="48" t="s">
        <v>337</v>
      </c>
      <c r="C39" s="50" t="s">
        <v>315</v>
      </c>
      <c r="D39" s="13"/>
      <c r="G39" s="45"/>
      <c r="H39" s="45"/>
      <c r="I39" s="45"/>
      <c r="J39" s="45"/>
      <c r="K39" s="45"/>
      <c r="L39" s="45"/>
      <c r="M39" s="45"/>
      <c r="N39" s="41"/>
      <c r="O39" s="41"/>
      <c r="P39" s="41"/>
      <c r="Q39" s="43"/>
      <c r="R39" s="41"/>
      <c r="S39" s="43"/>
      <c r="T39" s="43"/>
      <c r="U39" s="87"/>
      <c r="V39" s="91" t="s">
        <v>295</v>
      </c>
      <c r="W39" s="91">
        <v>52.4</v>
      </c>
      <c r="X39" s="91">
        <v>66.760000000000005</v>
      </c>
      <c r="Y39" s="91">
        <v>350</v>
      </c>
      <c r="Z39" s="91">
        <v>140</v>
      </c>
      <c r="AA39" s="91">
        <v>14.2</v>
      </c>
      <c r="AB39" s="91">
        <v>8.1</v>
      </c>
      <c r="AC39" s="91">
        <v>14.32</v>
      </c>
      <c r="AD39" s="91">
        <v>2.84</v>
      </c>
      <c r="AE39" s="91">
        <v>779</v>
      </c>
      <c r="AF39" s="91">
        <v>889.57</v>
      </c>
      <c r="AG39" s="91">
        <v>14</v>
      </c>
      <c r="AH39" s="91">
        <v>778.9</v>
      </c>
      <c r="AI39" s="91">
        <v>76.8</v>
      </c>
      <c r="AJ39" s="91">
        <v>13630.3</v>
      </c>
      <c r="AK39" s="91">
        <v>537.70000000000005</v>
      </c>
    </row>
    <row r="40" spans="1:37" x14ac:dyDescent="0.3">
      <c r="A40" s="69">
        <v>2</v>
      </c>
      <c r="B40" s="48" t="s">
        <v>343</v>
      </c>
      <c r="C40" s="50">
        <v>36.71</v>
      </c>
      <c r="D40" s="13" t="s">
        <v>340</v>
      </c>
      <c r="G40" s="45"/>
      <c r="H40" s="45"/>
      <c r="I40" s="45"/>
      <c r="J40" s="45"/>
      <c r="K40" s="45"/>
      <c r="L40" s="45"/>
      <c r="M40" s="45"/>
      <c r="N40" s="41"/>
      <c r="O40" s="42"/>
      <c r="P40" s="41"/>
      <c r="Q40" s="43"/>
      <c r="R40" s="42"/>
      <c r="S40" s="43"/>
      <c r="T40" s="43"/>
      <c r="U40" s="87"/>
      <c r="V40" s="91" t="s">
        <v>296</v>
      </c>
      <c r="W40" s="91">
        <v>49.5</v>
      </c>
      <c r="X40" s="91">
        <v>63.01</v>
      </c>
      <c r="Y40" s="91">
        <v>350</v>
      </c>
      <c r="Z40" s="91">
        <v>165</v>
      </c>
      <c r="AA40" s="91">
        <v>11.4</v>
      </c>
      <c r="AB40" s="91">
        <v>7.4</v>
      </c>
      <c r="AC40" s="91">
        <v>14.45</v>
      </c>
      <c r="AD40" s="91">
        <v>3.17</v>
      </c>
      <c r="AE40" s="91">
        <v>751.9</v>
      </c>
      <c r="AF40" s="91">
        <v>851.11</v>
      </c>
      <c r="AG40" s="91">
        <v>16</v>
      </c>
      <c r="AH40" s="91">
        <v>751.9</v>
      </c>
      <c r="AI40" s="91">
        <v>76.599999999999994</v>
      </c>
      <c r="AJ40" s="91">
        <v>13158.3</v>
      </c>
      <c r="AK40" s="91">
        <v>631.9</v>
      </c>
    </row>
    <row r="41" spans="1:37" s="47" customFormat="1" x14ac:dyDescent="0.3">
      <c r="A41" s="69">
        <v>3</v>
      </c>
      <c r="B41" s="48" t="s">
        <v>344</v>
      </c>
      <c r="C41" s="50">
        <v>200</v>
      </c>
      <c r="D41" s="51" t="s">
        <v>214</v>
      </c>
      <c r="G41" s="62"/>
      <c r="H41" s="62"/>
      <c r="I41" s="62"/>
      <c r="J41" s="62"/>
      <c r="K41" s="62"/>
      <c r="L41" s="62"/>
      <c r="M41" s="62"/>
      <c r="N41" s="59"/>
      <c r="O41" s="60"/>
      <c r="P41" s="59"/>
      <c r="Q41" s="61"/>
      <c r="R41" s="60"/>
      <c r="S41" s="61"/>
      <c r="T41" s="61"/>
      <c r="U41" s="87"/>
      <c r="V41" s="91" t="s">
        <v>297</v>
      </c>
      <c r="W41" s="91">
        <v>48.1</v>
      </c>
      <c r="X41" s="91">
        <v>61.33</v>
      </c>
      <c r="Y41" s="91">
        <v>300</v>
      </c>
      <c r="Z41" s="91">
        <v>200</v>
      </c>
      <c r="AA41" s="91">
        <v>10</v>
      </c>
      <c r="AB41" s="91">
        <v>7.4</v>
      </c>
      <c r="AC41" s="91">
        <v>12.66</v>
      </c>
      <c r="AD41" s="91">
        <v>4.0199999999999996</v>
      </c>
      <c r="AE41" s="91">
        <v>654.79999999999995</v>
      </c>
      <c r="AF41" s="91">
        <v>731.21</v>
      </c>
      <c r="AG41" s="91">
        <v>11</v>
      </c>
      <c r="AH41" s="91">
        <v>654.79999999999995</v>
      </c>
      <c r="AI41" s="91">
        <v>99</v>
      </c>
      <c r="AJ41" s="91">
        <v>9821.6</v>
      </c>
      <c r="AK41" s="91">
        <v>990.1</v>
      </c>
    </row>
    <row r="42" spans="1:37" x14ac:dyDescent="0.3">
      <c r="A42" s="69">
        <v>4</v>
      </c>
      <c r="B42" s="48" t="s">
        <v>345</v>
      </c>
      <c r="C42" s="50">
        <v>140</v>
      </c>
      <c r="D42" s="13" t="s">
        <v>214</v>
      </c>
      <c r="G42" s="45"/>
      <c r="H42" s="45"/>
      <c r="I42" s="45"/>
      <c r="J42" s="45"/>
      <c r="K42" s="45"/>
      <c r="L42" s="45"/>
      <c r="M42" s="45"/>
      <c r="N42" s="41"/>
      <c r="O42" s="43"/>
      <c r="P42" s="41"/>
      <c r="Q42" s="43"/>
      <c r="R42" s="42"/>
      <c r="S42" s="43"/>
      <c r="T42" s="43"/>
      <c r="U42" s="87"/>
      <c r="V42" s="91" t="s">
        <v>298</v>
      </c>
      <c r="W42" s="91">
        <v>54.7</v>
      </c>
      <c r="X42" s="91">
        <v>69.709999999999994</v>
      </c>
      <c r="Y42" s="91">
        <v>250</v>
      </c>
      <c r="Z42" s="91">
        <v>250</v>
      </c>
      <c r="AA42" s="91">
        <v>9.6999999999999993</v>
      </c>
      <c r="AB42" s="91">
        <v>8.8000000000000007</v>
      </c>
      <c r="AC42" s="91">
        <v>10.7</v>
      </c>
      <c r="AD42" s="91">
        <v>5.37</v>
      </c>
      <c r="AE42" s="91">
        <v>638.70000000000005</v>
      </c>
      <c r="AF42" s="91">
        <v>708.43</v>
      </c>
      <c r="AG42" s="91">
        <v>10</v>
      </c>
      <c r="AH42" s="91">
        <v>638.70000000000005</v>
      </c>
      <c r="AI42" s="93">
        <v>156.9</v>
      </c>
      <c r="AJ42" s="91">
        <v>7983.9</v>
      </c>
      <c r="AK42" s="91">
        <v>2011.7</v>
      </c>
    </row>
    <row r="43" spans="1:37" x14ac:dyDescent="0.3">
      <c r="A43" s="69">
        <v>5</v>
      </c>
      <c r="B43" s="48" t="s">
        <v>346</v>
      </c>
      <c r="C43" s="50">
        <v>9</v>
      </c>
      <c r="D43" s="13" t="s">
        <v>214</v>
      </c>
      <c r="G43" s="45"/>
      <c r="H43" s="45"/>
      <c r="I43" s="45"/>
      <c r="J43" s="45"/>
      <c r="K43" s="45"/>
      <c r="L43" s="45"/>
      <c r="M43" s="45"/>
      <c r="N43" s="41"/>
      <c r="O43" s="41"/>
      <c r="P43" s="41"/>
      <c r="Q43" s="43"/>
      <c r="R43" s="42"/>
      <c r="S43" s="43"/>
      <c r="T43" s="42"/>
      <c r="U43" s="87"/>
      <c r="V43" s="91" t="s">
        <v>299</v>
      </c>
      <c r="W43" s="91" t="s">
        <v>300</v>
      </c>
      <c r="X43" s="91">
        <v>54.9</v>
      </c>
      <c r="Y43" s="91">
        <v>325</v>
      </c>
      <c r="Z43" s="91">
        <v>165</v>
      </c>
      <c r="AA43" s="91">
        <v>9.8000000000000007</v>
      </c>
      <c r="AB43" s="91">
        <v>7</v>
      </c>
      <c r="AC43" s="91">
        <v>13.41</v>
      </c>
      <c r="AD43" s="91">
        <v>3.05</v>
      </c>
      <c r="AE43" s="91">
        <v>607.70000000000005</v>
      </c>
      <c r="AF43" s="91">
        <v>687.76</v>
      </c>
      <c r="AG43" s="91">
        <v>16</v>
      </c>
      <c r="AH43" s="91">
        <v>607.70000000000005</v>
      </c>
      <c r="AI43" s="91">
        <v>61.9</v>
      </c>
      <c r="AJ43" s="93">
        <v>9874.6</v>
      </c>
      <c r="AK43" s="91">
        <v>510.8</v>
      </c>
    </row>
    <row r="44" spans="1:37" x14ac:dyDescent="0.3">
      <c r="A44" s="69">
        <v>6</v>
      </c>
      <c r="B44" s="48" t="s">
        <v>347</v>
      </c>
      <c r="C44" s="50">
        <v>6.1</v>
      </c>
      <c r="D44" s="13" t="s">
        <v>214</v>
      </c>
      <c r="G44" s="45"/>
      <c r="H44" s="45"/>
      <c r="I44" s="45"/>
      <c r="J44" s="45"/>
      <c r="K44" s="45"/>
      <c r="L44" s="45"/>
      <c r="M44" s="45"/>
      <c r="N44" s="41"/>
      <c r="O44" s="43"/>
      <c r="P44" s="41"/>
      <c r="Q44" s="43"/>
      <c r="R44" s="43"/>
      <c r="S44" s="43"/>
      <c r="T44" s="42"/>
      <c r="U44" s="87"/>
      <c r="V44" s="91" t="s">
        <v>298</v>
      </c>
      <c r="W44" s="91">
        <v>51</v>
      </c>
      <c r="X44" s="91">
        <v>64.959999999999994</v>
      </c>
      <c r="Y44" s="91">
        <v>250</v>
      </c>
      <c r="Z44" s="91">
        <v>250</v>
      </c>
      <c r="AA44" s="91">
        <v>9.6999999999999993</v>
      </c>
      <c r="AB44" s="91">
        <v>6.9</v>
      </c>
      <c r="AC44" s="91">
        <v>10.91</v>
      </c>
      <c r="AD44" s="91">
        <v>5.49</v>
      </c>
      <c r="AE44" s="91">
        <v>618.9</v>
      </c>
      <c r="AF44" s="91">
        <v>678.73</v>
      </c>
      <c r="AG44" s="91">
        <v>10</v>
      </c>
      <c r="AH44" s="93">
        <v>618.9</v>
      </c>
      <c r="AI44" s="91">
        <v>159.69999999999999</v>
      </c>
      <c r="AJ44" s="91">
        <v>7736.5</v>
      </c>
      <c r="AK44" s="91">
        <v>1961.3</v>
      </c>
    </row>
    <row r="45" spans="1:37" x14ac:dyDescent="0.3">
      <c r="A45" s="69">
        <v>7</v>
      </c>
      <c r="B45" s="48" t="s">
        <v>338</v>
      </c>
      <c r="C45" s="50">
        <v>8.4600000000000009</v>
      </c>
      <c r="D45" s="13" t="s">
        <v>341</v>
      </c>
      <c r="G45" s="45"/>
      <c r="H45" s="45"/>
      <c r="I45" s="45"/>
      <c r="J45" s="45"/>
      <c r="K45" s="45"/>
      <c r="L45" s="45"/>
      <c r="M45" s="45"/>
      <c r="N45" s="41"/>
      <c r="O45" s="43"/>
      <c r="P45" s="41"/>
      <c r="Q45" s="43"/>
      <c r="R45" s="43"/>
      <c r="S45" s="43"/>
      <c r="T45" s="43"/>
      <c r="U45" s="87"/>
      <c r="V45" s="91" t="s">
        <v>301</v>
      </c>
      <c r="W45" s="91" t="s">
        <v>302</v>
      </c>
      <c r="X45" s="91">
        <v>56.26</v>
      </c>
      <c r="Y45" s="91">
        <v>300</v>
      </c>
      <c r="Z45" s="91">
        <v>140</v>
      </c>
      <c r="AA45" s="91">
        <v>12.4</v>
      </c>
      <c r="AB45" s="91">
        <v>7.5</v>
      </c>
      <c r="AC45" s="91">
        <v>12.37</v>
      </c>
      <c r="AD45" s="91">
        <v>2.84</v>
      </c>
      <c r="AE45" s="91">
        <v>573.6</v>
      </c>
      <c r="AF45" s="91">
        <v>651.74</v>
      </c>
      <c r="AG45" s="91">
        <v>14</v>
      </c>
      <c r="AH45" s="91">
        <v>573.6</v>
      </c>
      <c r="AI45" s="93">
        <v>64.8</v>
      </c>
      <c r="AJ45" s="91">
        <v>8603.6</v>
      </c>
      <c r="AK45" s="91">
        <v>453.9</v>
      </c>
    </row>
    <row r="46" spans="1:37" x14ac:dyDescent="0.3">
      <c r="A46" s="69">
        <v>8</v>
      </c>
      <c r="B46" s="48" t="s">
        <v>339</v>
      </c>
      <c r="C46" s="50">
        <v>2.99</v>
      </c>
      <c r="D46" s="13" t="s">
        <v>341</v>
      </c>
      <c r="G46" s="45"/>
      <c r="H46" s="45"/>
      <c r="I46" s="45"/>
      <c r="J46" s="45"/>
      <c r="K46" s="45"/>
      <c r="L46" s="45"/>
      <c r="M46" s="45"/>
      <c r="N46" s="41"/>
      <c r="O46" s="43"/>
      <c r="P46" s="41"/>
      <c r="Q46" s="43"/>
      <c r="R46" s="43"/>
      <c r="S46" s="43"/>
      <c r="T46" s="42"/>
      <c r="U46" s="87"/>
      <c r="V46" s="91" t="s">
        <v>303</v>
      </c>
      <c r="W46" s="91" t="s">
        <v>304</v>
      </c>
      <c r="X46" s="91">
        <v>48.08</v>
      </c>
      <c r="Y46" s="91">
        <v>300</v>
      </c>
      <c r="Z46" s="91">
        <v>150</v>
      </c>
      <c r="AA46" s="91">
        <v>9.4</v>
      </c>
      <c r="AB46" s="91">
        <v>6.7</v>
      </c>
      <c r="AC46" s="91">
        <v>12.35</v>
      </c>
      <c r="AD46" s="91">
        <v>2.8</v>
      </c>
      <c r="AE46" s="91">
        <v>488.9</v>
      </c>
      <c r="AF46" s="91">
        <v>554.32000000000005</v>
      </c>
      <c r="AG46" s="91">
        <v>15</v>
      </c>
      <c r="AH46" s="93">
        <v>488.9</v>
      </c>
      <c r="AI46" s="93">
        <v>50.2</v>
      </c>
      <c r="AJ46" s="91">
        <v>7332.9</v>
      </c>
      <c r="AK46" s="91">
        <v>376.2</v>
      </c>
    </row>
    <row r="47" spans="1:37" x14ac:dyDescent="0.3">
      <c r="A47" s="69">
        <v>9</v>
      </c>
      <c r="B47" s="48" t="s">
        <v>348</v>
      </c>
      <c r="C47" s="50">
        <v>262.5</v>
      </c>
      <c r="D47" s="13" t="s">
        <v>220</v>
      </c>
      <c r="G47" s="45"/>
      <c r="H47" s="45"/>
      <c r="I47" s="45"/>
      <c r="J47" s="45"/>
      <c r="K47" s="45"/>
      <c r="L47" s="45"/>
      <c r="M47" s="45"/>
      <c r="N47" s="41"/>
      <c r="O47" s="43"/>
      <c r="P47" s="41"/>
      <c r="Q47" s="43"/>
      <c r="R47" s="44"/>
      <c r="S47" s="43"/>
      <c r="T47" s="43"/>
      <c r="U47" s="87"/>
      <c r="V47" s="91" t="s">
        <v>305</v>
      </c>
      <c r="W47" s="91">
        <v>46.8</v>
      </c>
      <c r="X47" s="91">
        <v>59.66</v>
      </c>
      <c r="Y47" s="91">
        <v>225</v>
      </c>
      <c r="Z47" s="91">
        <v>225</v>
      </c>
      <c r="AA47" s="91">
        <v>9.1</v>
      </c>
      <c r="AB47" s="91">
        <v>8.6</v>
      </c>
      <c r="AC47" s="91">
        <v>9.58</v>
      </c>
      <c r="AD47" s="91">
        <v>4.84</v>
      </c>
      <c r="AE47" s="91">
        <v>487</v>
      </c>
      <c r="AF47" s="91">
        <v>542.22</v>
      </c>
      <c r="AG47" s="91">
        <v>10</v>
      </c>
      <c r="AH47" s="91">
        <v>487</v>
      </c>
      <c r="AI47" s="91">
        <v>123</v>
      </c>
      <c r="AJ47" s="91">
        <v>5478.8</v>
      </c>
      <c r="AK47" s="91">
        <v>1396.6</v>
      </c>
    </row>
    <row r="48" spans="1:37" x14ac:dyDescent="0.3">
      <c r="A48" s="69">
        <v>10</v>
      </c>
      <c r="B48" s="48" t="s">
        <v>360</v>
      </c>
      <c r="C48" s="50">
        <v>293.99</v>
      </c>
      <c r="D48" s="13" t="s">
        <v>220</v>
      </c>
      <c r="G48" s="45"/>
      <c r="H48" s="45"/>
      <c r="I48" s="45"/>
      <c r="J48" s="45"/>
      <c r="K48" s="45"/>
      <c r="L48" s="45"/>
      <c r="M48" s="45"/>
      <c r="N48" s="41"/>
      <c r="O48" s="43"/>
      <c r="P48" s="41"/>
      <c r="Q48" s="43"/>
      <c r="R48" s="44"/>
      <c r="S48" s="43"/>
      <c r="T48" s="43"/>
      <c r="U48" s="87"/>
      <c r="V48" s="91" t="s">
        <v>306</v>
      </c>
      <c r="W48" s="91">
        <v>40.9</v>
      </c>
      <c r="X48" s="91">
        <v>52.05</v>
      </c>
      <c r="Y48" s="91">
        <v>250</v>
      </c>
      <c r="Z48" s="91">
        <v>200</v>
      </c>
      <c r="AA48" s="91">
        <v>9</v>
      </c>
      <c r="AB48" s="91">
        <v>6.7</v>
      </c>
      <c r="AC48" s="91">
        <v>10.69</v>
      </c>
      <c r="AD48" s="91">
        <v>4.0599999999999996</v>
      </c>
      <c r="AE48" s="91">
        <v>475.4</v>
      </c>
      <c r="AF48" s="91">
        <v>527.57000000000005</v>
      </c>
      <c r="AG48" s="91">
        <v>10</v>
      </c>
      <c r="AH48" s="91">
        <v>475.4</v>
      </c>
      <c r="AI48" s="91">
        <v>85.7</v>
      </c>
      <c r="AJ48" s="96">
        <v>5943.1</v>
      </c>
      <c r="AK48" s="91">
        <v>857.5</v>
      </c>
    </row>
    <row r="49" spans="1:37" x14ac:dyDescent="0.3">
      <c r="A49" s="69">
        <v>11</v>
      </c>
      <c r="B49" s="48" t="s">
        <v>351</v>
      </c>
      <c r="C49" s="50">
        <v>9</v>
      </c>
      <c r="D49" s="13" t="s">
        <v>214</v>
      </c>
      <c r="G49" s="45"/>
      <c r="H49" s="45"/>
      <c r="I49" s="45"/>
      <c r="J49" s="45"/>
      <c r="K49" s="45"/>
      <c r="L49" s="45"/>
      <c r="M49" s="45"/>
      <c r="N49" s="41"/>
      <c r="O49" s="43"/>
      <c r="P49" s="41"/>
      <c r="Q49" s="43"/>
      <c r="R49" s="43"/>
      <c r="S49" s="42"/>
      <c r="T49" s="42"/>
      <c r="U49" s="87"/>
      <c r="V49" s="91" t="s">
        <v>305</v>
      </c>
      <c r="W49" s="91">
        <v>43.1</v>
      </c>
      <c r="X49" s="91">
        <v>54.94</v>
      </c>
      <c r="Y49" s="91">
        <v>225</v>
      </c>
      <c r="Z49" s="91">
        <v>225</v>
      </c>
      <c r="AA49" s="91">
        <v>9.1</v>
      </c>
      <c r="AB49" s="91">
        <v>6.5</v>
      </c>
      <c r="AC49" s="91">
        <v>9.8000000000000007</v>
      </c>
      <c r="AD49" s="91">
        <v>4.96</v>
      </c>
      <c r="AE49" s="91">
        <v>469.3</v>
      </c>
      <c r="AF49" s="91">
        <v>515.82000000000005</v>
      </c>
      <c r="AG49" s="91">
        <v>10</v>
      </c>
      <c r="AH49" s="91">
        <v>469.3</v>
      </c>
      <c r="AI49" s="91">
        <v>120.3</v>
      </c>
      <c r="AJ49" s="91">
        <v>5279.5</v>
      </c>
      <c r="AK49" s="91">
        <v>1353.8</v>
      </c>
    </row>
    <row r="50" spans="1:37" s="47" customFormat="1" x14ac:dyDescent="0.3">
      <c r="A50" s="69">
        <v>12</v>
      </c>
      <c r="B50" s="48" t="s">
        <v>356</v>
      </c>
      <c r="C50" s="50">
        <v>262.5</v>
      </c>
      <c r="D50" s="51" t="s">
        <v>220</v>
      </c>
      <c r="G50" s="62"/>
      <c r="H50" s="62"/>
      <c r="I50" s="62"/>
      <c r="J50" s="62"/>
      <c r="K50" s="62"/>
      <c r="L50" s="62"/>
      <c r="M50" s="62"/>
      <c r="N50" s="59"/>
      <c r="O50" s="61"/>
      <c r="P50" s="59"/>
      <c r="Q50" s="61"/>
      <c r="R50" s="61"/>
      <c r="S50" s="60"/>
      <c r="T50" s="60"/>
      <c r="U50" s="87"/>
      <c r="V50" s="91" t="s">
        <v>307</v>
      </c>
      <c r="W50" s="91">
        <v>37.299999999999997</v>
      </c>
      <c r="X50" s="91">
        <v>47.55</v>
      </c>
      <c r="Y50" s="91">
        <v>250</v>
      </c>
      <c r="Z50" s="91">
        <v>125</v>
      </c>
      <c r="AA50" s="91">
        <v>12.5</v>
      </c>
      <c r="AB50" s="91">
        <v>6.9</v>
      </c>
      <c r="AC50" s="91">
        <v>10.39</v>
      </c>
      <c r="AD50" s="91">
        <v>2.65</v>
      </c>
      <c r="AE50" s="91">
        <v>410.5</v>
      </c>
      <c r="AF50" s="91">
        <v>465.71</v>
      </c>
      <c r="AG50" s="91">
        <v>13</v>
      </c>
      <c r="AH50" s="91">
        <v>410.5</v>
      </c>
      <c r="AI50" s="93">
        <v>53.5</v>
      </c>
      <c r="AJ50" s="91">
        <v>5131.6000000000004</v>
      </c>
      <c r="AK50" s="91">
        <v>334.5</v>
      </c>
    </row>
    <row r="51" spans="1:37" s="47" customFormat="1" x14ac:dyDescent="0.3">
      <c r="A51" s="69">
        <v>13</v>
      </c>
      <c r="B51" s="56" t="s">
        <v>357</v>
      </c>
      <c r="C51" s="50">
        <v>47</v>
      </c>
      <c r="D51" s="51" t="s">
        <v>220</v>
      </c>
      <c r="G51" s="62"/>
      <c r="H51" s="62"/>
      <c r="I51" s="62"/>
      <c r="J51" s="62"/>
      <c r="K51" s="62"/>
      <c r="L51" s="62"/>
      <c r="M51" s="62"/>
      <c r="N51" s="59"/>
      <c r="O51" s="61"/>
      <c r="P51" s="59"/>
      <c r="Q51" s="61"/>
      <c r="R51" s="61"/>
      <c r="S51" s="60"/>
      <c r="T51" s="60"/>
      <c r="U51" s="87"/>
      <c r="V51" s="91" t="s">
        <v>308</v>
      </c>
      <c r="W51" s="91" t="s">
        <v>309</v>
      </c>
      <c r="X51" s="91">
        <v>42.02</v>
      </c>
      <c r="Y51" s="91">
        <v>275</v>
      </c>
      <c r="Z51" s="91">
        <v>140</v>
      </c>
      <c r="AA51" s="91">
        <v>8.8000000000000007</v>
      </c>
      <c r="AB51" s="91">
        <v>6.4</v>
      </c>
      <c r="AC51" s="91">
        <v>11.31</v>
      </c>
      <c r="AD51" s="91">
        <v>2.61</v>
      </c>
      <c r="AE51" s="91">
        <v>392.4</v>
      </c>
      <c r="AF51" s="91">
        <v>443.09</v>
      </c>
      <c r="AG51" s="93">
        <v>14</v>
      </c>
      <c r="AH51" s="93">
        <v>392.4</v>
      </c>
      <c r="AI51" s="91">
        <v>41</v>
      </c>
      <c r="AJ51" s="91">
        <v>5375.3</v>
      </c>
      <c r="AK51" s="91">
        <v>287</v>
      </c>
    </row>
    <row r="52" spans="1:37" s="47" customFormat="1" x14ac:dyDescent="0.3">
      <c r="A52" s="58"/>
      <c r="D52" s="51"/>
      <c r="G52" s="62"/>
      <c r="H52" s="62"/>
      <c r="I52" s="62"/>
      <c r="J52" s="62"/>
      <c r="K52" s="62"/>
      <c r="L52" s="62"/>
      <c r="M52" s="62"/>
      <c r="N52" s="59"/>
      <c r="O52" s="61"/>
      <c r="P52" s="59"/>
      <c r="Q52" s="61"/>
      <c r="R52" s="61"/>
      <c r="S52" s="60"/>
      <c r="T52" s="60"/>
      <c r="U52" s="87"/>
      <c r="V52" s="91" t="s">
        <v>310</v>
      </c>
      <c r="W52" s="91">
        <v>40</v>
      </c>
      <c r="X52" s="91">
        <v>50.94</v>
      </c>
      <c r="Y52" s="91">
        <v>200</v>
      </c>
      <c r="Z52" s="91">
        <v>200</v>
      </c>
      <c r="AA52" s="91">
        <v>9</v>
      </c>
      <c r="AB52" s="91">
        <v>7.8</v>
      </c>
      <c r="AC52" s="91">
        <v>8.5500000000000007</v>
      </c>
      <c r="AD52" s="91">
        <v>4.42</v>
      </c>
      <c r="AE52" s="91">
        <v>372.2</v>
      </c>
      <c r="AF52" s="91">
        <v>414.23</v>
      </c>
      <c r="AG52" s="91">
        <v>9</v>
      </c>
      <c r="AH52" s="91">
        <v>372.2</v>
      </c>
      <c r="AI52" s="91">
        <v>98.6</v>
      </c>
      <c r="AJ52" s="91">
        <v>3721.8</v>
      </c>
      <c r="AK52" s="91">
        <v>994.6</v>
      </c>
    </row>
    <row r="53" spans="1:37" ht="15.6" x14ac:dyDescent="0.3">
      <c r="A53" s="40"/>
      <c r="B53" s="49" t="s">
        <v>342</v>
      </c>
      <c r="D53" s="13"/>
      <c r="G53" s="45"/>
      <c r="H53" s="45"/>
      <c r="I53" s="45"/>
      <c r="J53" s="45"/>
      <c r="K53" s="45"/>
      <c r="L53" s="45"/>
      <c r="M53" s="45"/>
      <c r="N53" s="41"/>
      <c r="O53" s="43"/>
      <c r="P53" s="41"/>
      <c r="Q53" s="42"/>
      <c r="R53" s="43"/>
      <c r="S53" s="42"/>
      <c r="T53" s="43"/>
      <c r="U53" s="87"/>
      <c r="V53" s="91" t="s">
        <v>310</v>
      </c>
      <c r="W53" s="91">
        <v>37.299999999999997</v>
      </c>
      <c r="X53" s="91">
        <v>47.54</v>
      </c>
      <c r="Y53" s="91">
        <v>200</v>
      </c>
      <c r="Z53" s="91">
        <v>200</v>
      </c>
      <c r="AA53" s="91">
        <v>9</v>
      </c>
      <c r="AB53" s="91">
        <v>6.1</v>
      </c>
      <c r="AC53" s="91">
        <v>8.7100000000000009</v>
      </c>
      <c r="AD53" s="91">
        <v>4.51</v>
      </c>
      <c r="AE53" s="91">
        <v>360.8</v>
      </c>
      <c r="AF53" s="91">
        <v>397.23</v>
      </c>
      <c r="AG53" s="91">
        <v>9</v>
      </c>
      <c r="AH53" s="91">
        <v>360.8</v>
      </c>
      <c r="AI53" s="91">
        <v>96.7</v>
      </c>
      <c r="AJ53" s="91">
        <v>3608.4</v>
      </c>
      <c r="AK53" s="91">
        <v>967.1</v>
      </c>
    </row>
    <row r="54" spans="1:37" x14ac:dyDescent="0.3">
      <c r="A54" s="40"/>
      <c r="D54" s="13"/>
      <c r="G54" s="45"/>
      <c r="H54" s="45"/>
      <c r="I54" s="45"/>
      <c r="J54" s="45"/>
      <c r="K54" s="45"/>
      <c r="L54" s="45"/>
      <c r="M54" s="45"/>
      <c r="N54" s="63"/>
      <c r="O54" s="64"/>
      <c r="P54" s="64"/>
      <c r="Q54" s="67"/>
      <c r="R54" s="67"/>
      <c r="S54" s="67"/>
      <c r="T54" s="64"/>
      <c r="U54" s="87"/>
      <c r="V54" s="91" t="s">
        <v>311</v>
      </c>
      <c r="W54" s="91">
        <v>33.9</v>
      </c>
      <c r="X54" s="91">
        <v>43.24</v>
      </c>
      <c r="Y54" s="91">
        <v>225</v>
      </c>
      <c r="Z54" s="91">
        <v>150</v>
      </c>
      <c r="AA54" s="91">
        <v>9.9</v>
      </c>
      <c r="AB54" s="91">
        <v>6.4</v>
      </c>
      <c r="AC54" s="91">
        <v>9.52</v>
      </c>
      <c r="AD54" s="91">
        <v>3.22</v>
      </c>
      <c r="AE54" s="91">
        <v>348.5</v>
      </c>
      <c r="AF54" s="91">
        <v>389.93</v>
      </c>
      <c r="AG54" s="91">
        <v>9</v>
      </c>
      <c r="AH54" s="91">
        <v>348.5</v>
      </c>
      <c r="AI54" s="91">
        <v>59.8</v>
      </c>
      <c r="AJ54" s="91">
        <v>3920.5</v>
      </c>
      <c r="AK54" s="91">
        <v>448.6</v>
      </c>
    </row>
    <row r="55" spans="1:37" x14ac:dyDescent="0.3">
      <c r="A55" s="69">
        <v>1</v>
      </c>
      <c r="B55" t="s">
        <v>349</v>
      </c>
      <c r="C55" s="50">
        <f>C42/2</f>
        <v>70</v>
      </c>
      <c r="D55" s="51" t="s">
        <v>214</v>
      </c>
      <c r="G55" s="45"/>
      <c r="H55" s="45"/>
      <c r="I55" s="45"/>
      <c r="J55" s="45"/>
      <c r="K55" s="45"/>
      <c r="L55" s="45"/>
      <c r="M55" s="45"/>
      <c r="N55" s="63"/>
      <c r="O55" s="64"/>
      <c r="P55" s="64"/>
      <c r="Q55" s="67"/>
      <c r="R55" s="67"/>
      <c r="S55" s="67"/>
      <c r="T55" s="64"/>
      <c r="U55" s="87"/>
      <c r="V55" s="91" t="s">
        <v>312</v>
      </c>
      <c r="W55" s="91">
        <v>31.2</v>
      </c>
      <c r="X55" s="91">
        <v>39.72</v>
      </c>
      <c r="Y55" s="91">
        <v>225</v>
      </c>
      <c r="Z55" s="91">
        <v>110</v>
      </c>
      <c r="AA55" s="91">
        <v>11.8</v>
      </c>
      <c r="AB55" s="91">
        <v>6.5</v>
      </c>
      <c r="AC55" s="91">
        <v>931</v>
      </c>
      <c r="AD55" s="91">
        <v>2.34</v>
      </c>
      <c r="AE55" s="91">
        <v>305.89999999999998</v>
      </c>
      <c r="AF55" s="91">
        <v>348.27</v>
      </c>
      <c r="AG55" s="91">
        <v>12</v>
      </c>
      <c r="AH55" s="91">
        <v>305.89999999999998</v>
      </c>
      <c r="AI55" s="93">
        <v>39.700000000000003</v>
      </c>
      <c r="AJ55" s="91">
        <v>3441.8</v>
      </c>
      <c r="AK55" s="91">
        <v>218.3</v>
      </c>
    </row>
    <row r="56" spans="1:37" x14ac:dyDescent="0.3">
      <c r="A56" s="69">
        <v>2</v>
      </c>
      <c r="B56" t="s">
        <v>350</v>
      </c>
      <c r="C56" s="50">
        <f>C41-2*(C43+C49)</f>
        <v>164</v>
      </c>
      <c r="D56" s="51" t="s">
        <v>214</v>
      </c>
      <c r="G56" s="45"/>
      <c r="H56" s="45"/>
      <c r="I56" s="45"/>
      <c r="J56" s="45"/>
      <c r="K56" s="45"/>
      <c r="L56" s="45"/>
      <c r="M56" s="45"/>
      <c r="N56" s="63"/>
      <c r="O56" s="64"/>
      <c r="P56" s="64"/>
      <c r="Q56" s="67"/>
      <c r="R56" s="67"/>
      <c r="S56" s="67"/>
      <c r="T56" s="64"/>
      <c r="U56" s="87"/>
      <c r="V56" s="91" t="s">
        <v>313</v>
      </c>
      <c r="W56" s="91" t="s">
        <v>314</v>
      </c>
      <c r="X56" s="91">
        <v>35.53</v>
      </c>
      <c r="Y56" s="91">
        <v>250</v>
      </c>
      <c r="Z56" s="91">
        <v>125</v>
      </c>
      <c r="AA56" s="91">
        <v>8.1999999999999993</v>
      </c>
      <c r="AB56" s="91">
        <v>6.1</v>
      </c>
      <c r="AC56" s="91">
        <v>10.23</v>
      </c>
      <c r="AD56" s="91">
        <v>2.33</v>
      </c>
      <c r="AE56" s="91">
        <v>297.39999999999998</v>
      </c>
      <c r="AF56" s="91">
        <v>338.69</v>
      </c>
      <c r="AG56" s="91">
        <v>13</v>
      </c>
      <c r="AH56" s="91">
        <v>297.39999999999998</v>
      </c>
      <c r="AI56" s="91">
        <v>30.9</v>
      </c>
      <c r="AJ56" s="91">
        <v>3717.8</v>
      </c>
      <c r="AK56" s="91">
        <v>193.4</v>
      </c>
    </row>
    <row r="57" spans="1:37" x14ac:dyDescent="0.3">
      <c r="A57" s="69">
        <v>3</v>
      </c>
      <c r="B57" t="s">
        <v>352</v>
      </c>
      <c r="C57" s="50">
        <f>C55/C43</f>
        <v>7.7777777777777777</v>
      </c>
      <c r="D57" s="51"/>
      <c r="G57" s="45"/>
      <c r="H57" s="45"/>
      <c r="I57" s="45"/>
      <c r="J57" s="45"/>
      <c r="K57" s="45"/>
      <c r="L57" s="45"/>
      <c r="M57" s="45"/>
      <c r="N57" s="63"/>
      <c r="O57" s="64"/>
      <c r="P57" s="64"/>
      <c r="Q57" s="67"/>
      <c r="R57" s="67"/>
      <c r="S57" s="67"/>
      <c r="T57" s="64"/>
      <c r="U57" s="87"/>
      <c r="V57" s="91" t="s">
        <v>315</v>
      </c>
      <c r="W57" s="91">
        <v>28.8</v>
      </c>
      <c r="X57" s="91">
        <v>36.71</v>
      </c>
      <c r="Y57" s="91">
        <v>200</v>
      </c>
      <c r="Z57" s="91">
        <v>140</v>
      </c>
      <c r="AA57" s="91">
        <v>9</v>
      </c>
      <c r="AB57" s="91">
        <v>6.1</v>
      </c>
      <c r="AC57" s="91">
        <v>8.4600000000000009</v>
      </c>
      <c r="AD57" s="91">
        <v>2.99</v>
      </c>
      <c r="AE57" s="91">
        <v>262.5</v>
      </c>
      <c r="AF57" s="91">
        <v>293.99</v>
      </c>
      <c r="AG57" s="91">
        <v>9</v>
      </c>
      <c r="AH57" s="91">
        <v>262.5</v>
      </c>
      <c r="AI57" s="91">
        <v>47</v>
      </c>
      <c r="AJ57" s="94">
        <v>2624.5</v>
      </c>
      <c r="AK57" s="91">
        <v>328.8</v>
      </c>
    </row>
    <row r="58" spans="1:37" x14ac:dyDescent="0.3">
      <c r="A58" s="69">
        <v>4</v>
      </c>
      <c r="B58" t="s">
        <v>353</v>
      </c>
      <c r="C58" s="50">
        <f>C56/C44</f>
        <v>26.885245901639347</v>
      </c>
      <c r="D58" s="51"/>
      <c r="G58" s="45"/>
      <c r="H58" s="45"/>
      <c r="I58" s="45"/>
      <c r="J58" s="45"/>
      <c r="K58" s="45"/>
      <c r="L58" s="45"/>
      <c r="M58" s="45"/>
      <c r="N58" s="63"/>
      <c r="O58" s="64"/>
      <c r="P58" s="66"/>
      <c r="Q58" s="67"/>
      <c r="R58" s="67"/>
      <c r="S58" s="67"/>
      <c r="T58" s="64"/>
      <c r="U58" s="87"/>
      <c r="V58" s="91" t="s">
        <v>316</v>
      </c>
      <c r="W58" s="91" t="s">
        <v>317</v>
      </c>
      <c r="X58" s="91">
        <v>29.92</v>
      </c>
      <c r="Y58" s="91">
        <v>225</v>
      </c>
      <c r="Z58" s="91">
        <v>100</v>
      </c>
      <c r="AA58" s="91">
        <v>8.6</v>
      </c>
      <c r="AB58" s="91">
        <v>5.8</v>
      </c>
      <c r="AC58" s="91">
        <v>9.15</v>
      </c>
      <c r="AD58" s="91">
        <v>1.94</v>
      </c>
      <c r="AE58" s="91">
        <v>222.4</v>
      </c>
      <c r="AF58" s="91">
        <v>254.72</v>
      </c>
      <c r="AG58" s="91">
        <v>12</v>
      </c>
      <c r="AH58" s="91">
        <v>222.4</v>
      </c>
      <c r="AI58" s="93">
        <v>22.5</v>
      </c>
      <c r="AJ58" s="91">
        <v>2501.9</v>
      </c>
      <c r="AK58" s="91">
        <v>112.7</v>
      </c>
    </row>
    <row r="59" spans="1:37" x14ac:dyDescent="0.3">
      <c r="A59" s="40"/>
      <c r="B59" t="s">
        <v>354</v>
      </c>
      <c r="C59" s="53" t="str">
        <f>IF(AND(C57&lt;9.4,C58&lt;84),"Plastic",IF(AND(C57&lt;10.5,C58&lt;105),"ComPact","Semi-compact"))</f>
        <v>Plastic</v>
      </c>
      <c r="D59" s="51"/>
      <c r="G59" s="45"/>
      <c r="H59" s="45"/>
      <c r="I59" s="45"/>
      <c r="J59" s="45"/>
      <c r="K59" s="45"/>
      <c r="L59" s="45"/>
      <c r="M59" s="45"/>
      <c r="N59" s="63"/>
      <c r="O59" s="64"/>
      <c r="P59" s="64"/>
      <c r="Q59" s="68"/>
      <c r="R59" s="68"/>
      <c r="S59" s="68"/>
      <c r="T59" s="64"/>
      <c r="U59" s="97"/>
      <c r="V59" s="91" t="s">
        <v>318</v>
      </c>
      <c r="W59" s="91">
        <v>25.4</v>
      </c>
      <c r="X59" s="91">
        <v>32.33</v>
      </c>
      <c r="Y59" s="91">
        <v>200</v>
      </c>
      <c r="Z59" s="91">
        <v>100</v>
      </c>
      <c r="AA59" s="91">
        <v>10.8</v>
      </c>
      <c r="AB59" s="91">
        <v>5.7</v>
      </c>
      <c r="AC59" s="91">
        <v>8.32</v>
      </c>
      <c r="AD59" s="91">
        <v>2.15</v>
      </c>
      <c r="AE59" s="91">
        <v>223.5</v>
      </c>
      <c r="AF59" s="91">
        <v>253.86</v>
      </c>
      <c r="AG59" s="91">
        <v>11</v>
      </c>
      <c r="AH59" s="91">
        <v>223.5</v>
      </c>
      <c r="AI59" s="91">
        <v>30</v>
      </c>
      <c r="AJ59" s="91">
        <v>2235.4</v>
      </c>
      <c r="AK59" s="91">
        <v>150</v>
      </c>
    </row>
    <row r="60" spans="1:37" x14ac:dyDescent="0.3">
      <c r="A60" s="40"/>
      <c r="D60" s="51"/>
      <c r="G60" s="45"/>
      <c r="H60" s="45"/>
      <c r="I60" s="45"/>
      <c r="J60" s="45"/>
      <c r="K60" s="45"/>
      <c r="L60" s="45"/>
      <c r="M60" s="45"/>
      <c r="N60" s="63"/>
      <c r="O60" s="64"/>
      <c r="P60" s="64"/>
      <c r="Q60" s="68"/>
      <c r="R60" s="68"/>
      <c r="S60" s="68"/>
      <c r="T60" s="64"/>
      <c r="U60" s="97"/>
      <c r="V60" s="91" t="s">
        <v>319</v>
      </c>
      <c r="W60" s="91">
        <v>34.6</v>
      </c>
      <c r="X60" s="91">
        <v>44.08</v>
      </c>
      <c r="Y60" s="91">
        <v>150</v>
      </c>
      <c r="Z60" s="91">
        <v>150</v>
      </c>
      <c r="AA60" s="91">
        <v>9</v>
      </c>
      <c r="AB60" s="91">
        <v>11.8</v>
      </c>
      <c r="AC60" s="91">
        <v>6.09</v>
      </c>
      <c r="AD60" s="91">
        <v>3.35</v>
      </c>
      <c r="AE60" s="91">
        <v>218.1</v>
      </c>
      <c r="AF60" s="91">
        <v>251.64</v>
      </c>
      <c r="AG60" s="91">
        <v>8</v>
      </c>
      <c r="AH60" s="91">
        <v>218.1</v>
      </c>
      <c r="AI60" s="91">
        <v>63.2</v>
      </c>
      <c r="AJ60" s="91">
        <v>1635.6</v>
      </c>
      <c r="AK60" s="91">
        <v>494.9</v>
      </c>
    </row>
    <row r="61" spans="1:37" ht="15.6" x14ac:dyDescent="0.3">
      <c r="A61" s="40"/>
      <c r="B61" s="54" t="s">
        <v>355</v>
      </c>
      <c r="D61" s="51"/>
      <c r="G61" s="45"/>
      <c r="H61" s="45"/>
      <c r="I61" s="45"/>
      <c r="J61" s="45"/>
      <c r="K61" s="45"/>
      <c r="L61" s="45"/>
      <c r="M61" s="45"/>
      <c r="N61" s="63"/>
      <c r="O61" s="64"/>
      <c r="P61" s="64"/>
      <c r="Q61" s="68"/>
      <c r="R61" s="68"/>
      <c r="S61" s="68"/>
      <c r="T61" s="64"/>
      <c r="U61" s="97"/>
      <c r="V61" s="91" t="s">
        <v>319</v>
      </c>
      <c r="W61" s="91">
        <v>30.6</v>
      </c>
      <c r="X61" s="91">
        <v>38.979999999999997</v>
      </c>
      <c r="Y61" s="91">
        <v>150</v>
      </c>
      <c r="Z61" s="91">
        <v>150</v>
      </c>
      <c r="AA61" s="91">
        <v>9</v>
      </c>
      <c r="AB61" s="91">
        <v>8.4</v>
      </c>
      <c r="AC61" s="91">
        <v>6.29</v>
      </c>
      <c r="AD61" s="91">
        <v>3.44</v>
      </c>
      <c r="AE61" s="91">
        <v>205.3</v>
      </c>
      <c r="AF61" s="91">
        <v>232.52</v>
      </c>
      <c r="AG61" s="91">
        <v>8</v>
      </c>
      <c r="AH61" s="91">
        <v>205.3</v>
      </c>
      <c r="AI61" s="91">
        <v>60.2</v>
      </c>
      <c r="AJ61" s="91">
        <v>1540</v>
      </c>
      <c r="AK61" s="91">
        <v>460.3</v>
      </c>
    </row>
    <row r="62" spans="1:37" x14ac:dyDescent="0.3">
      <c r="A62" s="40"/>
      <c r="D62" s="51"/>
      <c r="G62" s="45"/>
      <c r="H62" s="45"/>
      <c r="I62" s="45"/>
      <c r="J62" s="45"/>
      <c r="K62" s="45"/>
      <c r="L62" s="45"/>
      <c r="M62" s="45"/>
      <c r="N62" s="63"/>
      <c r="O62" s="64"/>
      <c r="P62" s="64"/>
      <c r="Q62" s="68"/>
      <c r="R62" s="68"/>
      <c r="S62" s="68"/>
      <c r="T62" s="64"/>
      <c r="U62" s="97"/>
      <c r="V62" s="91" t="s">
        <v>319</v>
      </c>
      <c r="W62" s="91">
        <v>27.1</v>
      </c>
      <c r="X62" s="91">
        <v>34.479999999999997</v>
      </c>
      <c r="Y62" s="91">
        <v>150</v>
      </c>
      <c r="Z62" s="91">
        <v>150</v>
      </c>
      <c r="AA62" s="91">
        <v>9</v>
      </c>
      <c r="AB62" s="91">
        <v>5.4</v>
      </c>
      <c r="AC62" s="91">
        <v>6.5</v>
      </c>
      <c r="AD62" s="91">
        <v>3.54</v>
      </c>
      <c r="AE62" s="91">
        <v>194.1</v>
      </c>
      <c r="AF62" s="91">
        <v>215.64</v>
      </c>
      <c r="AG62" s="91">
        <v>8</v>
      </c>
      <c r="AH62" s="91">
        <v>194.1</v>
      </c>
      <c r="AI62" s="91">
        <v>57.6</v>
      </c>
      <c r="AJ62" s="91">
        <v>1455.6</v>
      </c>
      <c r="AK62" s="91">
        <v>431.7</v>
      </c>
    </row>
    <row r="63" spans="1:37" x14ac:dyDescent="0.3">
      <c r="A63" s="69">
        <v>1</v>
      </c>
      <c r="B63" t="s">
        <v>359</v>
      </c>
      <c r="C63" s="50">
        <f>C48*C14/(1.1*1000)</f>
        <v>66.815909090909088</v>
      </c>
      <c r="D63" s="51" t="s">
        <v>213</v>
      </c>
      <c r="G63" s="45"/>
      <c r="H63" s="45"/>
      <c r="I63" s="45"/>
      <c r="J63" s="45"/>
      <c r="K63" s="45"/>
      <c r="L63" s="45"/>
      <c r="M63" s="45"/>
      <c r="N63" s="63"/>
      <c r="O63" s="64"/>
      <c r="P63" s="64"/>
      <c r="Q63" s="68"/>
      <c r="R63" s="68"/>
      <c r="S63" s="68"/>
      <c r="T63" s="64"/>
      <c r="U63" s="97"/>
      <c r="V63" s="91" t="s">
        <v>320</v>
      </c>
      <c r="W63" s="91">
        <v>22.1</v>
      </c>
      <c r="X63" s="91">
        <v>28.11</v>
      </c>
      <c r="Y63" s="91">
        <v>175</v>
      </c>
      <c r="Z63" s="91">
        <v>125</v>
      </c>
      <c r="AA63" s="91">
        <v>7.4</v>
      </c>
      <c r="AB63" s="91">
        <v>5.8</v>
      </c>
      <c r="AC63" s="91">
        <v>7.33</v>
      </c>
      <c r="AD63" s="91">
        <v>2.59</v>
      </c>
      <c r="AE63" s="91">
        <v>172.5</v>
      </c>
      <c r="AF63" s="91">
        <v>194.2</v>
      </c>
      <c r="AG63" s="91">
        <v>8</v>
      </c>
      <c r="AH63" s="91">
        <v>172.5</v>
      </c>
      <c r="AI63" s="91">
        <v>30.2</v>
      </c>
      <c r="AJ63" s="91">
        <v>1509.4</v>
      </c>
      <c r="AK63" s="91">
        <v>188.6</v>
      </c>
    </row>
    <row r="64" spans="1:37" x14ac:dyDescent="0.3">
      <c r="A64" s="69">
        <v>2</v>
      </c>
      <c r="B64" t="s">
        <v>361</v>
      </c>
      <c r="C64" s="50">
        <f>1.2*C50*C14/(1.1*1000)</f>
        <v>71.590909090909093</v>
      </c>
      <c r="D64" s="51" t="s">
        <v>213</v>
      </c>
      <c r="G64" s="45"/>
      <c r="H64" s="45"/>
      <c r="I64" s="45"/>
      <c r="J64" s="45"/>
      <c r="K64" s="45"/>
      <c r="L64" s="45"/>
      <c r="M64" s="45"/>
      <c r="N64" s="63"/>
      <c r="O64" s="64"/>
      <c r="P64" s="64"/>
      <c r="Q64" s="68"/>
      <c r="R64" s="68"/>
      <c r="S64" s="68"/>
      <c r="T64" s="64"/>
      <c r="U64" s="97"/>
      <c r="V64" s="91" t="s">
        <v>321</v>
      </c>
      <c r="W64" s="91" t="s">
        <v>322</v>
      </c>
      <c r="X64" s="91">
        <v>25.27</v>
      </c>
      <c r="Y64" s="91">
        <v>200</v>
      </c>
      <c r="Z64" s="91">
        <v>100</v>
      </c>
      <c r="AA64" s="91">
        <v>7.3</v>
      </c>
      <c r="AB64" s="91">
        <v>5.4</v>
      </c>
      <c r="AC64" s="91">
        <v>8.19</v>
      </c>
      <c r="AD64" s="91">
        <v>2.13</v>
      </c>
      <c r="AE64" s="91">
        <v>169.7</v>
      </c>
      <c r="AF64" s="91">
        <v>184.34</v>
      </c>
      <c r="AG64" s="91">
        <v>9.5</v>
      </c>
      <c r="AH64" s="91">
        <v>169.7</v>
      </c>
      <c r="AI64" s="91">
        <v>23.1</v>
      </c>
      <c r="AJ64" s="91">
        <v>1696.6</v>
      </c>
      <c r="AK64" s="91">
        <v>115.4</v>
      </c>
    </row>
    <row r="65" spans="1:37" x14ac:dyDescent="0.3">
      <c r="A65" s="69"/>
      <c r="B65" s="52" t="s">
        <v>367</v>
      </c>
      <c r="C65" s="53" t="str">
        <f>IF(C64&gt;C63,"OK","Section failed")</f>
        <v>OK</v>
      </c>
      <c r="D65" s="51"/>
      <c r="G65" s="45"/>
      <c r="H65" s="45"/>
      <c r="I65" s="45"/>
      <c r="J65" s="45"/>
      <c r="K65" s="45"/>
      <c r="L65" s="45"/>
      <c r="M65" s="45"/>
      <c r="N65" s="63"/>
      <c r="O65" s="64"/>
      <c r="P65" s="64"/>
      <c r="Q65" s="68"/>
      <c r="R65" s="68"/>
      <c r="S65" s="68"/>
      <c r="T65" s="64"/>
      <c r="U65" s="97"/>
      <c r="V65" s="91" t="s">
        <v>323</v>
      </c>
      <c r="W65" s="91" t="s">
        <v>324</v>
      </c>
      <c r="X65" s="91">
        <v>24.62</v>
      </c>
      <c r="Y65" s="91">
        <v>175</v>
      </c>
      <c r="Z65" s="91">
        <v>90</v>
      </c>
      <c r="AA65" s="91">
        <v>8.6</v>
      </c>
      <c r="AB65" s="91">
        <v>5.5</v>
      </c>
      <c r="AC65" s="91">
        <v>7.19</v>
      </c>
      <c r="AD65" s="91">
        <v>1.86</v>
      </c>
      <c r="AE65" s="91">
        <v>145.4</v>
      </c>
      <c r="AF65" s="91">
        <v>166.08</v>
      </c>
      <c r="AG65" s="91">
        <v>10</v>
      </c>
      <c r="AH65" s="91">
        <v>18.899999999999999</v>
      </c>
      <c r="AI65" s="91">
        <v>145.4</v>
      </c>
      <c r="AJ65" s="91">
        <v>1272</v>
      </c>
      <c r="AK65" s="94">
        <v>85</v>
      </c>
    </row>
    <row r="66" spans="1:37" x14ac:dyDescent="0.3">
      <c r="A66" s="69"/>
      <c r="D66" s="51"/>
      <c r="G66" s="45"/>
      <c r="H66" s="45"/>
      <c r="I66" s="45"/>
      <c r="J66" s="45"/>
      <c r="K66" s="45"/>
      <c r="L66" s="45"/>
      <c r="M66" s="45"/>
      <c r="N66" s="63"/>
      <c r="O66" s="64"/>
      <c r="P66" s="64"/>
      <c r="Q66" s="68"/>
      <c r="R66" s="68"/>
      <c r="S66" s="68"/>
      <c r="T66" s="64"/>
      <c r="U66" s="97"/>
      <c r="V66" s="91" t="s">
        <v>325</v>
      </c>
      <c r="W66" s="91" t="s">
        <v>326</v>
      </c>
      <c r="X66" s="91">
        <v>21.3</v>
      </c>
      <c r="Y66" s="91">
        <v>175</v>
      </c>
      <c r="Z66" s="91">
        <v>90</v>
      </c>
      <c r="AA66" s="91">
        <v>6.9</v>
      </c>
      <c r="AB66" s="91">
        <v>5.0999999999999996</v>
      </c>
      <c r="AC66" s="91">
        <v>7.17</v>
      </c>
      <c r="AD66" s="91">
        <v>1.93</v>
      </c>
      <c r="AE66" s="91">
        <v>125.3</v>
      </c>
      <c r="AF66" s="91">
        <v>143.30000000000001</v>
      </c>
      <c r="AG66" s="91">
        <v>6.5</v>
      </c>
      <c r="AH66" s="91">
        <v>19.399999999999999</v>
      </c>
      <c r="AI66" s="91">
        <v>4</v>
      </c>
      <c r="AJ66" s="91">
        <v>1096.2</v>
      </c>
      <c r="AK66" s="91">
        <v>79.599999999999994</v>
      </c>
    </row>
    <row r="67" spans="1:37" x14ac:dyDescent="0.3">
      <c r="A67" s="69">
        <v>3</v>
      </c>
      <c r="B67" t="s">
        <v>363</v>
      </c>
      <c r="C67" s="50">
        <f>(2*(C42/2)*C43*(C42/4)+(C44/2)*(C44/4)*(C41-2*C43))*2</f>
        <v>89893.054999999993</v>
      </c>
      <c r="D67" s="51" t="s">
        <v>364</v>
      </c>
      <c r="H67" s="45"/>
      <c r="I67" s="45"/>
      <c r="J67" s="45"/>
      <c r="K67" s="45"/>
      <c r="L67" s="45"/>
      <c r="M67" s="45"/>
      <c r="N67" s="59"/>
      <c r="O67" s="61"/>
      <c r="P67" s="55"/>
      <c r="Q67" s="65"/>
      <c r="R67" s="65"/>
      <c r="S67" s="65"/>
      <c r="T67" s="61"/>
      <c r="U67" s="97"/>
      <c r="V67" s="91"/>
      <c r="W67" s="91"/>
      <c r="X67" s="91"/>
      <c r="Y67" s="91"/>
      <c r="Z67" s="91"/>
      <c r="AA67" s="91"/>
      <c r="AB67" s="91"/>
      <c r="AC67" s="91"/>
      <c r="AD67" s="91"/>
      <c r="AE67" s="91"/>
      <c r="AF67" s="91"/>
      <c r="AG67" s="91"/>
      <c r="AH67" s="91"/>
      <c r="AI67" s="91"/>
      <c r="AJ67" s="91"/>
      <c r="AK67" s="91"/>
    </row>
    <row r="68" spans="1:37" x14ac:dyDescent="0.3">
      <c r="A68" s="69">
        <v>4</v>
      </c>
      <c r="B68" t="s">
        <v>362</v>
      </c>
      <c r="C68" s="50">
        <f>C67*C14/(1.1*1000000)</f>
        <v>20.430239772727273</v>
      </c>
      <c r="D68" s="57" t="s">
        <v>213</v>
      </c>
      <c r="H68" s="45"/>
      <c r="I68" s="45"/>
      <c r="J68" s="45"/>
      <c r="K68" s="45"/>
      <c r="L68" s="45"/>
      <c r="M68" s="45"/>
      <c r="N68" s="59"/>
      <c r="O68" s="61"/>
      <c r="P68" s="55"/>
      <c r="Q68" s="65"/>
      <c r="R68" s="65"/>
      <c r="S68" s="65"/>
      <c r="T68" s="61"/>
      <c r="U68" s="97"/>
      <c r="V68" s="91" t="s">
        <v>327</v>
      </c>
      <c r="W68" s="91">
        <v>17</v>
      </c>
      <c r="X68" s="91">
        <v>21.67</v>
      </c>
      <c r="Y68" s="91">
        <v>150</v>
      </c>
      <c r="Z68" s="91">
        <v>100</v>
      </c>
      <c r="AA68" s="91">
        <v>7</v>
      </c>
      <c r="AB68" s="91">
        <v>5.4</v>
      </c>
      <c r="AC68" s="91">
        <v>6.22</v>
      </c>
      <c r="AD68" s="91">
        <v>2.09</v>
      </c>
      <c r="AE68" s="91">
        <v>111.9</v>
      </c>
      <c r="AF68" s="91">
        <v>126.86</v>
      </c>
      <c r="AG68" s="91">
        <v>8</v>
      </c>
      <c r="AH68" s="92">
        <v>111.9</v>
      </c>
      <c r="AI68" s="92">
        <v>19</v>
      </c>
      <c r="AJ68" s="91">
        <v>839.1</v>
      </c>
      <c r="AK68" s="91">
        <v>94.8</v>
      </c>
    </row>
    <row r="69" spans="1:37" x14ac:dyDescent="0.3">
      <c r="A69" s="69">
        <v>5</v>
      </c>
      <c r="B69" s="47" t="s">
        <v>365</v>
      </c>
      <c r="C69" s="50">
        <f>1.2*C51*C14/(1.1*1000)</f>
        <v>12.818181818181818</v>
      </c>
      <c r="D69" s="57" t="s">
        <v>213</v>
      </c>
      <c r="H69" s="45"/>
      <c r="I69" s="45"/>
      <c r="J69" s="45"/>
      <c r="K69" s="45"/>
      <c r="L69" s="45"/>
      <c r="M69" s="45"/>
      <c r="N69" s="59"/>
      <c r="O69" s="61"/>
      <c r="P69" s="55"/>
      <c r="Q69" s="65"/>
      <c r="R69" s="65"/>
      <c r="S69" s="65"/>
      <c r="T69" s="61"/>
      <c r="U69" s="97"/>
      <c r="V69" s="91" t="s">
        <v>328</v>
      </c>
      <c r="W69" s="91">
        <v>14.9</v>
      </c>
      <c r="X69" s="91">
        <v>19</v>
      </c>
      <c r="Y69" s="91">
        <v>150</v>
      </c>
      <c r="Z69" s="91">
        <v>80</v>
      </c>
      <c r="AA69" s="91">
        <v>7.6</v>
      </c>
      <c r="AB69" s="91">
        <v>4.8</v>
      </c>
      <c r="AC69" s="91">
        <v>6.18</v>
      </c>
      <c r="AD69" s="91">
        <v>1.66</v>
      </c>
      <c r="AE69" s="96">
        <v>96.9</v>
      </c>
      <c r="AF69" s="91">
        <v>110.48</v>
      </c>
      <c r="AG69" s="91">
        <v>9</v>
      </c>
      <c r="AH69" s="91">
        <v>96.9</v>
      </c>
      <c r="AI69" s="91">
        <v>13.1</v>
      </c>
      <c r="AJ69" s="91">
        <v>726.4</v>
      </c>
      <c r="AK69" s="94">
        <v>52.6</v>
      </c>
    </row>
    <row r="70" spans="1:37" x14ac:dyDescent="0.3">
      <c r="A70" s="69"/>
      <c r="B70" s="73" t="s">
        <v>366</v>
      </c>
      <c r="C70" s="53" t="str">
        <f>IF(C69&gt;C31,"OK","Section failed")</f>
        <v>OK</v>
      </c>
      <c r="H70" s="45"/>
      <c r="I70" s="45"/>
      <c r="J70" s="45"/>
      <c r="K70" s="45"/>
      <c r="L70" s="45"/>
      <c r="M70" s="45"/>
      <c r="N70" s="59"/>
      <c r="O70" s="61"/>
      <c r="P70" s="55"/>
      <c r="Q70" s="65"/>
      <c r="R70" s="65"/>
      <c r="S70" s="65"/>
      <c r="T70" s="61"/>
      <c r="U70" s="97"/>
      <c r="V70" s="91" t="s">
        <v>329</v>
      </c>
      <c r="W70" s="91">
        <v>14.2</v>
      </c>
      <c r="X70" s="91">
        <v>18.079999999999998</v>
      </c>
      <c r="Y70" s="91">
        <v>150</v>
      </c>
      <c r="Z70" s="91">
        <v>80</v>
      </c>
      <c r="AA70" s="91">
        <v>6.8</v>
      </c>
      <c r="AB70" s="91">
        <v>4.8</v>
      </c>
      <c r="AC70" s="91">
        <v>6.17</v>
      </c>
      <c r="AD70" s="91">
        <v>1.75</v>
      </c>
      <c r="AE70" s="91">
        <v>91.8</v>
      </c>
      <c r="AF70" s="91">
        <v>104.5</v>
      </c>
      <c r="AG70" s="91">
        <v>9.5</v>
      </c>
      <c r="AH70" s="91">
        <v>91.8</v>
      </c>
      <c r="AI70" s="91">
        <v>13.8</v>
      </c>
      <c r="AJ70" s="91">
        <v>688.2</v>
      </c>
      <c r="AK70" s="91">
        <v>55.2</v>
      </c>
    </row>
    <row r="71" spans="1:37" x14ac:dyDescent="0.3">
      <c r="A71" s="69"/>
      <c r="H71" s="45"/>
      <c r="I71" s="45"/>
      <c r="J71" s="45"/>
      <c r="K71" s="45"/>
      <c r="L71" s="45"/>
      <c r="M71" s="45"/>
      <c r="N71" s="59"/>
      <c r="O71" s="61"/>
      <c r="P71" s="55"/>
      <c r="Q71" s="65"/>
      <c r="R71" s="65"/>
      <c r="S71" s="65"/>
      <c r="T71" s="65"/>
      <c r="U71" s="97"/>
      <c r="V71" s="91"/>
      <c r="W71" s="91"/>
      <c r="X71" s="91"/>
      <c r="Y71" s="91"/>
      <c r="Z71" s="91"/>
      <c r="AA71" s="91"/>
      <c r="AB71" s="91"/>
      <c r="AC71" s="91"/>
      <c r="AD71" s="91"/>
      <c r="AE71" s="91"/>
      <c r="AF71" s="91"/>
      <c r="AG71" s="91"/>
      <c r="AH71" s="91"/>
      <c r="AI71" s="91"/>
      <c r="AJ71" s="91"/>
      <c r="AK71" s="91"/>
    </row>
    <row r="72" spans="1:37" x14ac:dyDescent="0.3">
      <c r="A72" s="69">
        <v>6</v>
      </c>
      <c r="B72" t="s">
        <v>369</v>
      </c>
      <c r="C72" s="50">
        <f>(C30/C63)+(C31/C68)</f>
        <v>0.89237666101611757</v>
      </c>
      <c r="H72" s="45"/>
      <c r="I72" s="45"/>
      <c r="J72" s="45"/>
      <c r="K72" s="45"/>
      <c r="L72" s="45"/>
      <c r="M72" s="45"/>
      <c r="N72" s="59"/>
      <c r="O72" s="61"/>
      <c r="P72" s="55"/>
      <c r="Q72" s="65"/>
      <c r="R72" s="65"/>
      <c r="S72" s="65"/>
      <c r="T72" s="65"/>
      <c r="U72" s="97"/>
      <c r="V72" s="91" t="s">
        <v>330</v>
      </c>
      <c r="W72" s="91">
        <v>13</v>
      </c>
      <c r="X72" s="91">
        <v>16.600000000000001</v>
      </c>
      <c r="Y72" s="91">
        <v>125</v>
      </c>
      <c r="Z72" s="91">
        <v>75</v>
      </c>
      <c r="AA72" s="91">
        <v>7.6</v>
      </c>
      <c r="AB72" s="91">
        <v>4.4000000000000004</v>
      </c>
      <c r="AC72" s="91">
        <v>5.2</v>
      </c>
      <c r="AD72" s="91">
        <v>1.62</v>
      </c>
      <c r="AE72" s="91">
        <v>71.8</v>
      </c>
      <c r="AF72" s="91">
        <v>81.849999999999994</v>
      </c>
      <c r="AG72" s="91">
        <v>9</v>
      </c>
      <c r="AH72" s="91">
        <v>71.8</v>
      </c>
      <c r="AI72" s="91" t="s">
        <v>375</v>
      </c>
      <c r="AJ72" s="91">
        <v>449</v>
      </c>
      <c r="AK72" s="91">
        <v>43.7</v>
      </c>
    </row>
    <row r="73" spans="1:37" x14ac:dyDescent="0.3">
      <c r="A73" s="40"/>
      <c r="C73" s="53" t="str">
        <f>IF(C72&lt;=1,"OK","Section failed")</f>
        <v>OK</v>
      </c>
      <c r="H73" s="45"/>
      <c r="I73" s="45"/>
      <c r="J73" s="45"/>
      <c r="K73" s="45"/>
      <c r="L73" s="45"/>
      <c r="M73" s="45"/>
      <c r="N73" s="59"/>
      <c r="O73" s="61"/>
      <c r="P73" s="55"/>
      <c r="Q73" s="65"/>
      <c r="R73" s="65"/>
      <c r="S73" s="65"/>
      <c r="T73" s="65"/>
      <c r="U73" s="97"/>
      <c r="V73" s="91" t="s">
        <v>331</v>
      </c>
      <c r="W73" s="91">
        <v>11.9</v>
      </c>
      <c r="X73" s="91">
        <v>15.12</v>
      </c>
      <c r="Y73" s="91">
        <v>125</v>
      </c>
      <c r="Z73" s="91">
        <v>75</v>
      </c>
      <c r="AA73" s="91">
        <v>6.5</v>
      </c>
      <c r="AB73" s="91">
        <v>4.4000000000000004</v>
      </c>
      <c r="AC73" s="91">
        <v>5.19</v>
      </c>
      <c r="AD73" s="91">
        <v>1.69</v>
      </c>
      <c r="AE73" s="91">
        <v>65.099999999999994</v>
      </c>
      <c r="AF73" s="91">
        <v>73.930000000000007</v>
      </c>
      <c r="AG73" s="91">
        <v>8</v>
      </c>
      <c r="AH73" s="91">
        <v>65.099999999999994</v>
      </c>
      <c r="AI73" s="91">
        <v>11.6</v>
      </c>
      <c r="AJ73" s="91">
        <v>406.8</v>
      </c>
      <c r="AK73" s="91">
        <v>43.4</v>
      </c>
    </row>
    <row r="74" spans="1:37" x14ac:dyDescent="0.3">
      <c r="A74" s="40"/>
      <c r="H74" s="45"/>
      <c r="I74" s="45"/>
      <c r="J74" s="45"/>
      <c r="K74" s="45"/>
      <c r="L74" s="45"/>
      <c r="M74" s="45"/>
      <c r="N74" s="59"/>
      <c r="O74" s="61"/>
      <c r="P74" s="55"/>
      <c r="Q74" s="65"/>
      <c r="R74" s="65"/>
      <c r="S74" s="65"/>
      <c r="T74" s="65"/>
      <c r="U74" s="97"/>
      <c r="V74" s="91"/>
      <c r="W74" s="91"/>
      <c r="X74" s="91"/>
      <c r="Y74" s="91"/>
      <c r="Z74" s="91"/>
      <c r="AA74" s="91"/>
      <c r="AB74" s="91"/>
      <c r="AC74" s="91"/>
      <c r="AD74" s="91"/>
      <c r="AE74" s="91"/>
      <c r="AF74" s="91"/>
      <c r="AG74" s="91"/>
      <c r="AH74" s="91"/>
      <c r="AI74" s="91"/>
      <c r="AJ74" s="91"/>
      <c r="AK74" s="91"/>
    </row>
    <row r="75" spans="1:37" ht="15.6" x14ac:dyDescent="0.3">
      <c r="A75" s="40"/>
      <c r="B75" s="54" t="s">
        <v>370</v>
      </c>
      <c r="H75" s="45"/>
      <c r="I75" s="45"/>
      <c r="J75" s="45"/>
      <c r="K75" s="45"/>
      <c r="L75" s="45"/>
      <c r="M75" s="45"/>
      <c r="N75" s="59"/>
      <c r="O75" s="61"/>
      <c r="P75" s="55"/>
      <c r="Q75" s="65"/>
      <c r="R75" s="65"/>
      <c r="S75" s="65"/>
      <c r="T75" s="65"/>
      <c r="U75" s="97"/>
      <c r="V75" s="91" t="s">
        <v>332</v>
      </c>
      <c r="W75" s="91">
        <v>8.9</v>
      </c>
      <c r="X75" s="91">
        <v>11.4</v>
      </c>
      <c r="Y75" s="91">
        <v>100</v>
      </c>
      <c r="Z75" s="91">
        <v>50</v>
      </c>
      <c r="AA75" s="91">
        <v>7</v>
      </c>
      <c r="AB75" s="91">
        <v>4.2</v>
      </c>
      <c r="AC75" s="91">
        <v>4</v>
      </c>
      <c r="AD75" s="91">
        <v>1.05</v>
      </c>
      <c r="AE75" s="91">
        <v>36.6</v>
      </c>
      <c r="AF75" s="91">
        <v>41.68</v>
      </c>
      <c r="AG75" s="91">
        <v>9</v>
      </c>
      <c r="AH75" s="91">
        <v>51.5</v>
      </c>
      <c r="AI75" s="91">
        <v>10.9</v>
      </c>
      <c r="AJ75" s="91">
        <v>257.5</v>
      </c>
      <c r="AK75" s="91">
        <v>40.799999999999997</v>
      </c>
    </row>
    <row r="76" spans="1:37" x14ac:dyDescent="0.3">
      <c r="A76" s="40"/>
      <c r="C76" s="55"/>
      <c r="H76" s="45"/>
      <c r="I76" s="45"/>
      <c r="J76" s="45"/>
      <c r="K76" s="45"/>
      <c r="L76" s="45"/>
      <c r="M76" s="45"/>
      <c r="N76" s="59"/>
      <c r="O76" s="61"/>
      <c r="P76" s="55"/>
      <c r="Q76" s="65"/>
      <c r="R76" s="65"/>
      <c r="S76" s="65"/>
      <c r="T76" s="65"/>
      <c r="U76" s="97"/>
      <c r="V76" s="91"/>
      <c r="W76" s="91"/>
      <c r="X76" s="91"/>
      <c r="Y76" s="91"/>
      <c r="Z76" s="91"/>
      <c r="AA76" s="91"/>
      <c r="AB76" s="91"/>
      <c r="AC76" s="91"/>
      <c r="AD76" s="91"/>
      <c r="AE76" s="91"/>
      <c r="AF76" s="91"/>
      <c r="AG76" s="91"/>
      <c r="AH76" s="91"/>
      <c r="AI76" s="91"/>
      <c r="AJ76" s="91"/>
      <c r="AK76" s="91"/>
    </row>
    <row r="77" spans="1:37" x14ac:dyDescent="0.3">
      <c r="A77" s="40">
        <v>1</v>
      </c>
      <c r="B77" t="s">
        <v>371</v>
      </c>
      <c r="C77" s="50">
        <f>C8*1000/180</f>
        <v>33.333333333333336</v>
      </c>
      <c r="D77" t="s">
        <v>214</v>
      </c>
      <c r="H77" s="45"/>
      <c r="I77" s="45"/>
      <c r="J77" s="45"/>
      <c r="K77" s="45"/>
      <c r="L77" s="45"/>
      <c r="M77" s="45"/>
      <c r="N77" s="59"/>
      <c r="O77" s="61"/>
      <c r="P77" s="55"/>
      <c r="Q77" s="65"/>
      <c r="R77" s="65"/>
      <c r="S77" s="65"/>
      <c r="T77" s="65"/>
      <c r="U77" s="97"/>
      <c r="V77" s="91" t="s">
        <v>333</v>
      </c>
      <c r="W77" s="91">
        <v>8</v>
      </c>
      <c r="X77" s="91">
        <v>10.210000000000001</v>
      </c>
      <c r="Y77" s="91">
        <v>100</v>
      </c>
      <c r="Z77" s="91">
        <v>50</v>
      </c>
      <c r="AA77" s="91" t="s">
        <v>334</v>
      </c>
      <c r="AB77" s="91">
        <v>4</v>
      </c>
      <c r="AC77" s="91">
        <v>4.0599999999999996</v>
      </c>
      <c r="AD77" s="91">
        <v>1.1200000000000001</v>
      </c>
      <c r="AE77" s="91">
        <v>33.6</v>
      </c>
      <c r="AF77" s="91">
        <v>38.89</v>
      </c>
      <c r="AG77" s="91">
        <v>7</v>
      </c>
      <c r="AH77" s="91">
        <v>33.6</v>
      </c>
      <c r="AI77" s="93">
        <v>5.0999999999999996</v>
      </c>
      <c r="AJ77" s="91">
        <v>168</v>
      </c>
      <c r="AK77" s="91">
        <v>12.7</v>
      </c>
    </row>
    <row r="78" spans="1:37" x14ac:dyDescent="0.3">
      <c r="A78" s="40">
        <v>2</v>
      </c>
      <c r="B78" t="s">
        <v>372</v>
      </c>
      <c r="C78" s="50">
        <f>(5*N86*N87*N87*N87*N87)/(384*N85*N88*10000)</f>
        <v>15.806331542611103</v>
      </c>
      <c r="D78" t="s">
        <v>214</v>
      </c>
      <c r="H78" s="45"/>
      <c r="I78" s="45"/>
      <c r="J78" s="45"/>
      <c r="K78" s="45"/>
      <c r="L78" s="45"/>
      <c r="M78" s="45"/>
      <c r="N78" s="59"/>
      <c r="O78" s="61"/>
      <c r="P78" s="55"/>
      <c r="Q78" s="65"/>
      <c r="R78" s="65"/>
      <c r="S78" s="65"/>
      <c r="T78" s="65"/>
      <c r="U78" s="97"/>
      <c r="V78" s="91" t="s">
        <v>335</v>
      </c>
      <c r="W78" s="91">
        <v>6.1</v>
      </c>
      <c r="X78" s="91">
        <v>7.71</v>
      </c>
      <c r="Y78" s="91">
        <v>75</v>
      </c>
      <c r="Z78" s="91">
        <v>50</v>
      </c>
      <c r="AA78" s="91">
        <v>5</v>
      </c>
      <c r="AB78" s="91">
        <v>3.7</v>
      </c>
      <c r="AC78" s="91">
        <v>3.07</v>
      </c>
      <c r="AD78" s="91">
        <v>1.1399999999999999</v>
      </c>
      <c r="AE78" s="91">
        <v>19.399999999999999</v>
      </c>
      <c r="AF78" s="91">
        <v>22.35</v>
      </c>
      <c r="AG78" s="91">
        <v>6.5</v>
      </c>
      <c r="AH78" s="93">
        <v>19.399999999999999</v>
      </c>
      <c r="AI78" s="93">
        <v>4</v>
      </c>
      <c r="AJ78" s="91">
        <v>72.7</v>
      </c>
      <c r="AK78" s="91">
        <v>10</v>
      </c>
    </row>
    <row r="79" spans="1:37" x14ac:dyDescent="0.3">
      <c r="A79" s="40"/>
      <c r="C79" s="53" t="str">
        <f>IF(C78&lt;C77,"OK","Section failed")</f>
        <v>OK</v>
      </c>
      <c r="H79" s="45"/>
      <c r="I79" s="45"/>
      <c r="J79" s="45"/>
      <c r="K79" s="45"/>
      <c r="L79" s="45"/>
      <c r="M79" s="45"/>
      <c r="N79" s="59"/>
      <c r="O79" s="61"/>
      <c r="P79" s="55"/>
      <c r="Q79" s="65"/>
      <c r="R79" s="65"/>
      <c r="S79" s="65"/>
      <c r="T79" s="65"/>
      <c r="U79" s="97"/>
      <c r="V79" s="87"/>
      <c r="W79" s="87"/>
      <c r="X79" s="87"/>
      <c r="Y79" s="87"/>
      <c r="Z79" s="87"/>
      <c r="AA79" s="87"/>
      <c r="AB79" s="87"/>
      <c r="AC79" s="87"/>
      <c r="AD79" s="87"/>
      <c r="AE79" s="87"/>
      <c r="AF79" s="87"/>
      <c r="AG79" s="87"/>
      <c r="AH79" s="87"/>
      <c r="AI79" s="87"/>
      <c r="AJ79" s="87"/>
      <c r="AK79" s="87"/>
    </row>
    <row r="80" spans="1:37" x14ac:dyDescent="0.3">
      <c r="A80" s="40"/>
      <c r="C80" s="55"/>
      <c r="H80" s="45"/>
      <c r="I80" s="45"/>
      <c r="J80" s="45"/>
      <c r="K80" s="45"/>
      <c r="L80" s="45"/>
      <c r="M80" s="45"/>
      <c r="N80" s="59"/>
      <c r="O80" s="61"/>
      <c r="P80" s="55"/>
      <c r="Q80" s="65"/>
      <c r="R80" s="65"/>
      <c r="S80" s="65"/>
      <c r="T80" s="65"/>
      <c r="U80" s="97"/>
      <c r="V80" s="87"/>
      <c r="W80" s="87"/>
      <c r="X80" s="87"/>
      <c r="Y80" s="87"/>
      <c r="Z80" s="87"/>
      <c r="AA80" s="87"/>
      <c r="AB80" s="87"/>
      <c r="AC80" s="87"/>
      <c r="AD80" s="87"/>
      <c r="AE80" s="87"/>
      <c r="AF80" s="87"/>
      <c r="AG80" s="87"/>
      <c r="AH80" s="87"/>
      <c r="AI80" s="87"/>
      <c r="AJ80" s="87"/>
      <c r="AK80" s="87"/>
    </row>
    <row r="81" spans="1:32" x14ac:dyDescent="0.3">
      <c r="A81" s="40"/>
      <c r="H81" s="45"/>
      <c r="I81" s="45"/>
      <c r="J81" s="45"/>
      <c r="K81" s="45"/>
      <c r="L81" s="45"/>
      <c r="M81" s="45"/>
      <c r="N81" s="59"/>
      <c r="O81" s="61"/>
      <c r="P81" s="55"/>
      <c r="Q81" s="65"/>
      <c r="R81" s="65"/>
      <c r="S81" s="65"/>
      <c r="T81" s="65"/>
      <c r="U81" s="45"/>
      <c r="V81" s="55"/>
      <c r="W81" s="55"/>
      <c r="X81" s="55"/>
      <c r="Y81" s="55"/>
      <c r="Z81" s="55"/>
      <c r="AA81" s="55"/>
      <c r="AB81" s="55"/>
      <c r="AC81" s="55"/>
      <c r="AD81" s="55"/>
      <c r="AE81" s="55"/>
      <c r="AF81" s="55"/>
    </row>
    <row r="82" spans="1:32" x14ac:dyDescent="0.3">
      <c r="A82" s="40"/>
      <c r="H82" s="45"/>
      <c r="I82" s="45"/>
      <c r="J82" s="45"/>
      <c r="K82" s="45"/>
      <c r="L82" s="45"/>
      <c r="M82" s="45"/>
      <c r="N82" s="59"/>
      <c r="O82" s="61"/>
      <c r="P82" s="55"/>
      <c r="Q82" s="65"/>
      <c r="R82" s="65"/>
      <c r="S82" s="65"/>
      <c r="T82" s="65"/>
      <c r="U82" s="45"/>
      <c r="V82" s="55"/>
      <c r="W82" s="55"/>
      <c r="X82" s="55"/>
      <c r="Y82" s="55"/>
      <c r="Z82" s="55"/>
      <c r="AA82" s="55"/>
      <c r="AB82" s="55"/>
      <c r="AC82" s="55"/>
      <c r="AD82" s="55"/>
      <c r="AE82" s="55"/>
      <c r="AF82" s="55"/>
    </row>
    <row r="83" spans="1:32" x14ac:dyDescent="0.3">
      <c r="A83" s="40"/>
      <c r="H83" s="45"/>
      <c r="I83" s="45"/>
      <c r="J83" s="45"/>
      <c r="K83" s="45"/>
      <c r="L83" s="45"/>
      <c r="M83" s="98"/>
      <c r="N83" s="99"/>
      <c r="O83" s="99"/>
      <c r="P83" s="88"/>
      <c r="Q83" s="100"/>
      <c r="R83" s="65"/>
      <c r="S83" s="65"/>
      <c r="T83" s="65"/>
      <c r="U83" s="45"/>
      <c r="V83" s="55"/>
      <c r="W83" s="55"/>
      <c r="X83" s="55"/>
      <c r="Y83" s="55"/>
      <c r="Z83" s="55"/>
      <c r="AA83" s="55"/>
      <c r="AB83" s="55"/>
      <c r="AC83" s="55"/>
      <c r="AD83" s="55"/>
      <c r="AE83" s="55"/>
      <c r="AF83" s="55"/>
    </row>
    <row r="84" spans="1:32" x14ac:dyDescent="0.3">
      <c r="A84" s="40"/>
      <c r="H84" s="45"/>
      <c r="I84" s="45"/>
      <c r="J84" s="45"/>
      <c r="K84" s="45"/>
      <c r="L84" s="45"/>
      <c r="M84" s="98"/>
      <c r="N84" s="98"/>
      <c r="O84" s="98"/>
      <c r="P84" s="98"/>
      <c r="Q84" s="98"/>
      <c r="R84" s="45"/>
      <c r="S84" s="45"/>
      <c r="T84" s="45"/>
      <c r="U84" s="45"/>
    </row>
    <row r="85" spans="1:32" x14ac:dyDescent="0.3">
      <c r="A85" s="40"/>
      <c r="H85" s="45"/>
      <c r="I85" s="45"/>
      <c r="J85" s="45"/>
      <c r="K85" s="45"/>
      <c r="L85" s="45"/>
      <c r="M85" s="98"/>
      <c r="N85" s="101">
        <v>2624.5</v>
      </c>
      <c r="O85" s="98"/>
      <c r="P85" s="98">
        <f>IF(C65="Section failed",0,1)</f>
        <v>1</v>
      </c>
      <c r="Q85" s="98"/>
      <c r="R85" s="45"/>
      <c r="S85" s="45"/>
      <c r="T85" s="45"/>
      <c r="U85" s="45"/>
    </row>
    <row r="86" spans="1:32" x14ac:dyDescent="0.3">
      <c r="A86" s="40"/>
      <c r="H86" s="45"/>
      <c r="I86" s="45"/>
      <c r="J86" s="45"/>
      <c r="K86" s="45"/>
      <c r="L86" s="45"/>
      <c r="M86" s="98"/>
      <c r="N86" s="98">
        <f>(C25)/1.5</f>
        <v>4.9165886973135224</v>
      </c>
      <c r="O86" s="98"/>
      <c r="P86" s="98">
        <f>IF(C70="Section failed",0,1)</f>
        <v>1</v>
      </c>
      <c r="Q86" s="98"/>
      <c r="R86" s="45"/>
      <c r="S86" s="45"/>
      <c r="T86" s="45"/>
      <c r="U86" s="45"/>
      <c r="V86" s="55"/>
      <c r="W86" s="55"/>
      <c r="X86" s="55"/>
      <c r="Y86" s="55"/>
      <c r="Z86" s="55"/>
      <c r="AA86" s="55"/>
      <c r="AB86" s="55"/>
      <c r="AC86" s="55"/>
      <c r="AD86" s="55"/>
      <c r="AE86" s="55"/>
      <c r="AF86" s="55"/>
    </row>
    <row r="87" spans="1:32" x14ac:dyDescent="0.3">
      <c r="A87" s="40"/>
      <c r="H87" s="45"/>
      <c r="I87" s="45"/>
      <c r="J87" s="45"/>
      <c r="K87" s="45"/>
      <c r="L87" s="45"/>
      <c r="M87" s="98"/>
      <c r="N87" s="98">
        <f>C8*1000</f>
        <v>6000</v>
      </c>
      <c r="O87" s="98"/>
      <c r="P87" s="98">
        <f>IF(C73="Section failed",0,1)</f>
        <v>1</v>
      </c>
      <c r="Q87" s="98"/>
      <c r="R87" s="45"/>
      <c r="S87" s="45"/>
      <c r="T87" s="45"/>
      <c r="U87" s="45"/>
    </row>
    <row r="88" spans="1:32" x14ac:dyDescent="0.3">
      <c r="A88" s="40"/>
      <c r="H88" s="45"/>
      <c r="I88" s="45"/>
      <c r="J88" s="45"/>
      <c r="K88" s="45"/>
      <c r="L88" s="45"/>
      <c r="M88" s="98"/>
      <c r="N88" s="98">
        <f>2*100000</f>
        <v>200000</v>
      </c>
      <c r="O88" s="98"/>
      <c r="P88" s="98">
        <f>IF(C79="Section failed",0,1)</f>
        <v>1</v>
      </c>
      <c r="Q88" s="98"/>
      <c r="R88" s="45"/>
      <c r="S88" s="45"/>
      <c r="T88" s="45"/>
      <c r="U88" s="45"/>
      <c r="V88" s="55"/>
      <c r="W88" s="55"/>
      <c r="X88" s="55"/>
      <c r="Y88" s="55"/>
      <c r="Z88" s="55"/>
      <c r="AA88" s="55"/>
      <c r="AB88" s="55"/>
      <c r="AC88" s="55"/>
      <c r="AD88" s="55"/>
      <c r="AE88" s="55"/>
      <c r="AF88" s="55"/>
    </row>
    <row r="89" spans="1:32" x14ac:dyDescent="0.3">
      <c r="A89" s="40"/>
      <c r="M89" s="89"/>
      <c r="N89" s="89"/>
      <c r="O89" s="89"/>
      <c r="P89" s="89"/>
      <c r="Q89" s="89"/>
    </row>
    <row r="90" spans="1:32" x14ac:dyDescent="0.3">
      <c r="A90" s="40"/>
      <c r="M90" s="89"/>
      <c r="N90" s="89"/>
      <c r="O90" s="89"/>
      <c r="P90" s="89"/>
      <c r="Q90" s="89"/>
      <c r="V90" s="55"/>
      <c r="W90" s="55"/>
      <c r="X90" s="55"/>
      <c r="Y90" s="55"/>
      <c r="Z90" s="55"/>
      <c r="AA90" s="55"/>
      <c r="AB90" s="55"/>
      <c r="AC90" s="55"/>
      <c r="AD90" s="55"/>
      <c r="AE90" s="55"/>
      <c r="AF90" s="55"/>
    </row>
    <row r="91" spans="1:32" x14ac:dyDescent="0.3">
      <c r="A91" s="40"/>
    </row>
    <row r="92" spans="1:32" x14ac:dyDescent="0.3">
      <c r="A92" s="40"/>
      <c r="V92" s="55"/>
      <c r="W92" s="55"/>
      <c r="X92" s="55"/>
      <c r="Y92" s="55"/>
      <c r="Z92" s="55"/>
      <c r="AA92" s="55"/>
      <c r="AB92" s="55"/>
      <c r="AC92" s="55"/>
      <c r="AD92" s="55"/>
      <c r="AE92" s="55"/>
      <c r="AF92" s="55"/>
    </row>
    <row r="93" spans="1:32" x14ac:dyDescent="0.3">
      <c r="A93" s="40"/>
    </row>
    <row r="94" spans="1:32" x14ac:dyDescent="0.3">
      <c r="A94" s="40"/>
    </row>
    <row r="95" spans="1:32" x14ac:dyDescent="0.3">
      <c r="A95" s="40"/>
      <c r="V95" s="55"/>
      <c r="W95" s="55"/>
      <c r="X95" s="55"/>
      <c r="Y95" s="55"/>
      <c r="Z95" s="55"/>
      <c r="AA95" s="55"/>
      <c r="AB95" s="55"/>
      <c r="AC95" s="55"/>
      <c r="AD95" s="55"/>
      <c r="AE95" s="55"/>
      <c r="AF95" s="55"/>
    </row>
    <row r="96" spans="1:32" x14ac:dyDescent="0.3">
      <c r="A96" s="40"/>
    </row>
    <row r="97" spans="1:32" x14ac:dyDescent="0.3">
      <c r="A97" s="40"/>
      <c r="V97" s="55"/>
      <c r="W97" s="55"/>
      <c r="X97" s="55"/>
      <c r="Y97" s="55"/>
      <c r="Z97" s="55"/>
      <c r="AA97" s="55"/>
      <c r="AB97" s="55"/>
      <c r="AC97" s="55"/>
      <c r="AD97" s="55"/>
      <c r="AE97" s="55"/>
      <c r="AF97" s="55"/>
    </row>
    <row r="98" spans="1:32" x14ac:dyDescent="0.3">
      <c r="A98" s="40"/>
      <c r="V98" s="55"/>
      <c r="W98" s="55"/>
      <c r="X98" s="55"/>
      <c r="Y98" s="55"/>
      <c r="Z98" s="55"/>
      <c r="AA98" s="55"/>
      <c r="AB98" s="55"/>
      <c r="AC98" s="55"/>
      <c r="AD98" s="55"/>
      <c r="AE98" s="55"/>
      <c r="AF98" s="55"/>
    </row>
    <row r="99" spans="1:32" x14ac:dyDescent="0.3">
      <c r="A99" s="40"/>
    </row>
    <row r="100" spans="1:32" x14ac:dyDescent="0.3">
      <c r="A100" s="40"/>
    </row>
    <row r="101" spans="1:32" x14ac:dyDescent="0.3">
      <c r="A101" s="40"/>
    </row>
    <row r="102" spans="1:32" x14ac:dyDescent="0.3">
      <c r="A102" s="40"/>
      <c r="V102" s="55"/>
      <c r="W102" s="55"/>
      <c r="X102" s="55"/>
      <c r="Y102" s="55"/>
      <c r="Z102" s="55"/>
      <c r="AA102" s="55"/>
      <c r="AB102" s="55"/>
      <c r="AC102" s="55"/>
      <c r="AD102" s="55"/>
      <c r="AE102" s="55"/>
      <c r="AF102" s="55"/>
    </row>
    <row r="103" spans="1:32" x14ac:dyDescent="0.3">
      <c r="A103" s="40"/>
      <c r="V103" s="55"/>
      <c r="W103" s="55"/>
      <c r="X103" s="55"/>
      <c r="Y103" s="55"/>
      <c r="Z103" s="55"/>
      <c r="AA103" s="55"/>
      <c r="AB103" s="55"/>
      <c r="AC103" s="55"/>
      <c r="AD103" s="55"/>
      <c r="AE103" s="55"/>
      <c r="AF103" s="55"/>
    </row>
    <row r="104" spans="1:32" x14ac:dyDescent="0.3">
      <c r="A104" s="40"/>
    </row>
    <row r="105" spans="1:32" x14ac:dyDescent="0.3">
      <c r="A105" s="40"/>
      <c r="V105" s="55"/>
      <c r="W105" s="55"/>
      <c r="X105" s="55"/>
      <c r="Y105" s="55"/>
      <c r="Z105" s="55"/>
      <c r="AA105" s="55"/>
      <c r="AB105" s="55"/>
      <c r="AC105" s="55"/>
      <c r="AD105" s="55"/>
      <c r="AE105" s="55"/>
      <c r="AF105" s="55"/>
    </row>
    <row r="106" spans="1:32" x14ac:dyDescent="0.3">
      <c r="A106" s="40"/>
      <c r="V106" s="55"/>
      <c r="W106" s="55"/>
      <c r="X106" s="55"/>
      <c r="Y106" s="55"/>
      <c r="Z106" s="55"/>
      <c r="AA106" s="55"/>
      <c r="AB106" s="55"/>
      <c r="AC106" s="55"/>
      <c r="AD106" s="55"/>
      <c r="AE106" s="55"/>
      <c r="AF106" s="55"/>
    </row>
    <row r="107" spans="1:32" x14ac:dyDescent="0.3">
      <c r="A107" s="40"/>
      <c r="V107" s="55"/>
      <c r="W107" s="55"/>
      <c r="X107" s="55"/>
      <c r="Y107" s="55"/>
      <c r="Z107" s="55"/>
      <c r="AA107" s="55"/>
      <c r="AB107" s="55"/>
      <c r="AC107" s="55"/>
      <c r="AD107" s="55"/>
      <c r="AE107" s="55"/>
      <c r="AF107" s="55"/>
    </row>
    <row r="108" spans="1:32" x14ac:dyDescent="0.3">
      <c r="A108" s="40"/>
    </row>
    <row r="109" spans="1:32" x14ac:dyDescent="0.3">
      <c r="A109" s="40"/>
    </row>
    <row r="110" spans="1:32" x14ac:dyDescent="0.3">
      <c r="A110" s="40"/>
    </row>
    <row r="111" spans="1:32" x14ac:dyDescent="0.3">
      <c r="A111" s="40"/>
    </row>
    <row r="112" spans="1:32" x14ac:dyDescent="0.3">
      <c r="A112" s="40"/>
    </row>
    <row r="113" spans="1:1" x14ac:dyDescent="0.3">
      <c r="A113" s="40"/>
    </row>
    <row r="114" spans="1:1" x14ac:dyDescent="0.3">
      <c r="A114" s="40"/>
    </row>
    <row r="115" spans="1:1" x14ac:dyDescent="0.3">
      <c r="A115" s="40"/>
    </row>
    <row r="116" spans="1:1" x14ac:dyDescent="0.3">
      <c r="A116" s="40"/>
    </row>
    <row r="117" spans="1:1" x14ac:dyDescent="0.3">
      <c r="A117" s="40"/>
    </row>
    <row r="118" spans="1:1" x14ac:dyDescent="0.3">
      <c r="A118" s="40"/>
    </row>
    <row r="119" spans="1:1" x14ac:dyDescent="0.3">
      <c r="A119" s="40"/>
    </row>
  </sheetData>
  <mergeCells count="3">
    <mergeCell ref="D2:L2"/>
    <mergeCell ref="I4:M5"/>
    <mergeCell ref="A5:A1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135"/>
  <sheetViews>
    <sheetView topLeftCell="A18" zoomScale="77" zoomScaleNormal="85" workbookViewId="0">
      <selection activeCell="B34" sqref="B34"/>
    </sheetView>
  </sheetViews>
  <sheetFormatPr defaultColWidth="9.109375" defaultRowHeight="14.4" x14ac:dyDescent="0.3"/>
  <cols>
    <col min="1" max="1" width="7.6640625" style="47" customWidth="1"/>
    <col min="2" max="2" width="32.5546875" style="47" customWidth="1"/>
    <col min="3" max="3" width="16.6640625" style="47" customWidth="1"/>
    <col min="4" max="4" width="13.6640625" style="47" customWidth="1"/>
    <col min="5" max="5" width="18" style="47" customWidth="1"/>
    <col min="6" max="7" width="13.6640625" style="47" customWidth="1"/>
    <col min="8" max="13" width="9.6640625" style="47" customWidth="1"/>
    <col min="14" max="14" width="13" style="47" bestFit="1" customWidth="1"/>
    <col min="15" max="21" width="9.109375" style="47"/>
    <col min="22" max="22" width="12.6640625" style="47" customWidth="1"/>
    <col min="23" max="16384" width="9.109375" style="47"/>
  </cols>
  <sheetData>
    <row r="1" spans="1:39" ht="15" thickBot="1" x14ac:dyDescent="0.35"/>
    <row r="2" spans="1:39" ht="18.600000000000001" thickBot="1" x14ac:dyDescent="0.4">
      <c r="D2" s="142" t="s">
        <v>377</v>
      </c>
      <c r="E2" s="143"/>
      <c r="F2" s="143"/>
      <c r="G2" s="143"/>
      <c r="H2" s="143"/>
      <c r="I2" s="143"/>
      <c r="J2" s="143"/>
      <c r="K2" s="143"/>
      <c r="L2" s="144"/>
    </row>
    <row r="3" spans="1:39" ht="15" thickBot="1" x14ac:dyDescent="0.35"/>
    <row r="4" spans="1:39" x14ac:dyDescent="0.3">
      <c r="I4" s="136" t="s">
        <v>233</v>
      </c>
      <c r="J4" s="137"/>
      <c r="K4" s="137"/>
      <c r="L4" s="137"/>
      <c r="M4" s="138"/>
    </row>
    <row r="5" spans="1:39" ht="15" thickBot="1" x14ac:dyDescent="0.35">
      <c r="A5" s="148" t="s">
        <v>209</v>
      </c>
      <c r="B5" s="48" t="s">
        <v>2</v>
      </c>
      <c r="C5" s="29">
        <v>4</v>
      </c>
      <c r="D5" s="51" t="s">
        <v>94</v>
      </c>
      <c r="I5" s="139"/>
      <c r="J5" s="140"/>
      <c r="K5" s="140"/>
      <c r="L5" s="140"/>
      <c r="M5" s="141"/>
    </row>
    <row r="6" spans="1:39" x14ac:dyDescent="0.3">
      <c r="A6" s="148"/>
      <c r="B6" s="48" t="s">
        <v>111</v>
      </c>
      <c r="C6" s="29">
        <v>20</v>
      </c>
      <c r="D6" s="51" t="s">
        <v>208</v>
      </c>
    </row>
    <row r="7" spans="1:39" x14ac:dyDescent="0.3">
      <c r="A7" s="148"/>
      <c r="B7" s="48" t="s">
        <v>234</v>
      </c>
      <c r="C7" s="29">
        <v>2</v>
      </c>
      <c r="D7" s="51" t="s">
        <v>94</v>
      </c>
    </row>
    <row r="8" spans="1:39" x14ac:dyDescent="0.3">
      <c r="A8" s="148"/>
      <c r="B8" s="48" t="s">
        <v>235</v>
      </c>
      <c r="C8" s="29">
        <v>2</v>
      </c>
      <c r="D8" s="51" t="s">
        <v>94</v>
      </c>
    </row>
    <row r="9" spans="1:39" x14ac:dyDescent="0.3">
      <c r="A9" s="148"/>
      <c r="B9" s="48" t="s">
        <v>236</v>
      </c>
      <c r="C9" s="29">
        <v>1.5</v>
      </c>
      <c r="D9" s="51" t="s">
        <v>94</v>
      </c>
    </row>
    <row r="10" spans="1:39" x14ac:dyDescent="0.3">
      <c r="A10" s="148"/>
      <c r="B10" s="48" t="s">
        <v>237</v>
      </c>
      <c r="C10" s="29">
        <v>0.15</v>
      </c>
      <c r="D10" s="51" t="s">
        <v>240</v>
      </c>
      <c r="U10" s="89"/>
      <c r="V10" s="89"/>
      <c r="W10" s="89"/>
      <c r="X10" s="89"/>
      <c r="Y10" s="89"/>
      <c r="Z10" s="89"/>
      <c r="AA10" s="89"/>
      <c r="AB10" s="89"/>
      <c r="AC10" s="89"/>
      <c r="AD10" s="89"/>
      <c r="AE10" s="89"/>
      <c r="AF10" s="89"/>
      <c r="AG10" s="89"/>
      <c r="AH10" s="89"/>
      <c r="AI10" s="89"/>
      <c r="AJ10" s="89"/>
      <c r="AK10" s="89"/>
      <c r="AL10" s="89"/>
      <c r="AM10" s="89"/>
    </row>
    <row r="11" spans="1:39" x14ac:dyDescent="0.3">
      <c r="A11" s="148"/>
      <c r="B11" s="48" t="s">
        <v>238</v>
      </c>
      <c r="C11" s="29">
        <v>2</v>
      </c>
      <c r="D11" s="51" t="s">
        <v>240</v>
      </c>
      <c r="U11" s="89"/>
      <c r="V11" s="89"/>
      <c r="W11" s="89"/>
      <c r="X11" s="89"/>
      <c r="Y11" s="89"/>
      <c r="Z11" s="89"/>
      <c r="AA11" s="89"/>
      <c r="AB11" s="89"/>
      <c r="AC11" s="89"/>
      <c r="AD11" s="89"/>
      <c r="AE11" s="89"/>
      <c r="AF11" s="89"/>
      <c r="AG11" s="89"/>
      <c r="AH11" s="89"/>
      <c r="AI11" s="89"/>
      <c r="AJ11" s="89"/>
      <c r="AK11" s="89"/>
      <c r="AL11" s="89"/>
      <c r="AM11" s="89"/>
    </row>
    <row r="12" spans="1:39" x14ac:dyDescent="0.3">
      <c r="A12" s="148"/>
      <c r="B12" s="48" t="s">
        <v>150</v>
      </c>
      <c r="C12" s="29">
        <v>0.5</v>
      </c>
      <c r="D12" s="51" t="s">
        <v>240</v>
      </c>
      <c r="E12" s="52" t="s">
        <v>429</v>
      </c>
      <c r="U12" s="89"/>
      <c r="V12" s="105">
        <v>22</v>
      </c>
      <c r="W12" s="105">
        <v>23</v>
      </c>
      <c r="X12" s="105">
        <v>24</v>
      </c>
      <c r="Y12" s="105">
        <v>25</v>
      </c>
      <c r="Z12" s="105">
        <v>26</v>
      </c>
      <c r="AA12" s="105">
        <v>27</v>
      </c>
      <c r="AB12" s="105">
        <v>28</v>
      </c>
      <c r="AC12" s="105">
        <v>29</v>
      </c>
      <c r="AD12" s="105">
        <v>30</v>
      </c>
      <c r="AE12" s="105">
        <v>31</v>
      </c>
      <c r="AF12" s="105">
        <v>32</v>
      </c>
      <c r="AG12" s="105">
        <v>33</v>
      </c>
      <c r="AH12" s="105">
        <v>34</v>
      </c>
      <c r="AI12" s="105">
        <v>35</v>
      </c>
      <c r="AJ12" s="105">
        <v>36</v>
      </c>
      <c r="AK12" s="105">
        <v>37</v>
      </c>
      <c r="AL12" s="89"/>
      <c r="AM12" s="89"/>
    </row>
    <row r="13" spans="1:39" ht="27" customHeight="1" x14ac:dyDescent="0.3">
      <c r="A13" s="148"/>
      <c r="B13" s="2" t="s">
        <v>243</v>
      </c>
      <c r="C13" s="6">
        <v>0</v>
      </c>
      <c r="D13" s="39" t="s">
        <v>242</v>
      </c>
      <c r="E13" s="38" t="s">
        <v>244</v>
      </c>
      <c r="U13" s="89"/>
      <c r="V13" s="102" t="s">
        <v>257</v>
      </c>
      <c r="W13" s="102" t="s">
        <v>258</v>
      </c>
      <c r="X13" s="102" t="s">
        <v>125</v>
      </c>
      <c r="Y13" s="102" t="s">
        <v>259</v>
      </c>
      <c r="Z13" s="102" t="s">
        <v>253</v>
      </c>
      <c r="AA13" s="102" t="s">
        <v>254</v>
      </c>
      <c r="AB13" s="102" t="s">
        <v>255</v>
      </c>
      <c r="AC13" s="102" t="s">
        <v>260</v>
      </c>
      <c r="AD13" s="102" t="s">
        <v>261</v>
      </c>
      <c r="AE13" s="102" t="s">
        <v>262</v>
      </c>
      <c r="AF13" s="102" t="s">
        <v>263</v>
      </c>
      <c r="AG13" s="103" t="s">
        <v>358</v>
      </c>
      <c r="AH13" s="103" t="s">
        <v>356</v>
      </c>
      <c r="AI13" s="103" t="s">
        <v>357</v>
      </c>
      <c r="AJ13" s="103" t="s">
        <v>373</v>
      </c>
      <c r="AK13" s="103" t="s">
        <v>376</v>
      </c>
      <c r="AL13" s="89"/>
      <c r="AM13" s="89"/>
    </row>
    <row r="14" spans="1:39" x14ac:dyDescent="0.3">
      <c r="A14" s="148"/>
      <c r="B14" s="48" t="s">
        <v>239</v>
      </c>
      <c r="C14" s="36">
        <v>250</v>
      </c>
      <c r="D14" s="51" t="s">
        <v>216</v>
      </c>
      <c r="N14" s="70"/>
      <c r="O14" s="70"/>
      <c r="P14" s="70"/>
      <c r="Q14" s="70"/>
      <c r="R14" s="70"/>
      <c r="S14" s="70"/>
      <c r="T14" s="70"/>
      <c r="U14" s="89"/>
      <c r="V14" s="104" t="s">
        <v>378</v>
      </c>
      <c r="W14" s="104" t="s">
        <v>379</v>
      </c>
      <c r="X14" s="104">
        <v>62.93</v>
      </c>
      <c r="Y14" s="104">
        <v>400</v>
      </c>
      <c r="Z14" s="104">
        <v>100</v>
      </c>
      <c r="AA14" s="104">
        <v>15.3</v>
      </c>
      <c r="AB14" s="104">
        <v>8.6</v>
      </c>
      <c r="AC14" s="104">
        <v>15.48</v>
      </c>
      <c r="AD14" s="104">
        <v>2.83</v>
      </c>
      <c r="AE14" s="104">
        <v>754.1</v>
      </c>
      <c r="AF14" s="104">
        <v>891.03</v>
      </c>
      <c r="AG14" s="105">
        <v>15</v>
      </c>
      <c r="AH14" s="105">
        <v>754.1</v>
      </c>
      <c r="AI14" s="105">
        <v>66.599999999999994</v>
      </c>
      <c r="AJ14" s="105">
        <v>15082.8</v>
      </c>
      <c r="AK14" s="105">
        <v>504.8</v>
      </c>
      <c r="AL14" s="89"/>
      <c r="AM14" s="89"/>
    </row>
    <row r="15" spans="1:39" x14ac:dyDescent="0.3">
      <c r="N15" s="59"/>
      <c r="O15" s="59"/>
      <c r="P15" s="59"/>
      <c r="Q15" s="61"/>
      <c r="R15" s="61"/>
      <c r="S15" s="61"/>
      <c r="T15" s="60"/>
      <c r="U15" s="89"/>
      <c r="V15" s="104" t="s">
        <v>380</v>
      </c>
      <c r="W15" s="104" t="s">
        <v>381</v>
      </c>
      <c r="X15" s="104">
        <v>58.25</v>
      </c>
      <c r="Y15" s="104">
        <v>400</v>
      </c>
      <c r="Z15" s="104">
        <v>100</v>
      </c>
      <c r="AA15" s="104">
        <v>14</v>
      </c>
      <c r="AB15" s="104">
        <v>8</v>
      </c>
      <c r="AC15" s="104">
        <v>15.5</v>
      </c>
      <c r="AD15" s="104">
        <v>2.81</v>
      </c>
      <c r="AE15" s="104">
        <v>699.5</v>
      </c>
      <c r="AF15" s="104">
        <v>825.02</v>
      </c>
      <c r="AG15" s="105">
        <v>14</v>
      </c>
      <c r="AH15" s="105">
        <v>699.5</v>
      </c>
      <c r="AI15" s="105">
        <v>60.2</v>
      </c>
      <c r="AJ15" s="105">
        <v>13989.5</v>
      </c>
      <c r="AK15" s="105">
        <v>460.4</v>
      </c>
      <c r="AL15" s="89"/>
      <c r="AM15" s="89"/>
    </row>
    <row r="16" spans="1:39" ht="15.6" x14ac:dyDescent="0.3">
      <c r="B16" s="49" t="s">
        <v>249</v>
      </c>
      <c r="N16" s="59"/>
      <c r="O16" s="59"/>
      <c r="P16" s="59"/>
      <c r="Q16" s="61"/>
      <c r="R16" s="61"/>
      <c r="S16" s="61"/>
      <c r="T16" s="60"/>
      <c r="U16" s="89"/>
      <c r="V16" s="104" t="s">
        <v>382</v>
      </c>
      <c r="W16" s="104" t="s">
        <v>383</v>
      </c>
      <c r="X16" s="104">
        <v>53.66</v>
      </c>
      <c r="Y16" s="104">
        <v>350</v>
      </c>
      <c r="Z16" s="104">
        <v>100</v>
      </c>
      <c r="AA16" s="104">
        <v>13.5</v>
      </c>
      <c r="AB16" s="104">
        <v>8.1</v>
      </c>
      <c r="AC16" s="104">
        <v>13.66</v>
      </c>
      <c r="AD16" s="104">
        <v>2.83</v>
      </c>
      <c r="AE16" s="104">
        <v>571.9</v>
      </c>
      <c r="AF16" s="104">
        <v>672.19</v>
      </c>
      <c r="AG16" s="105">
        <v>14</v>
      </c>
      <c r="AH16" s="105">
        <v>571.9</v>
      </c>
      <c r="AI16" s="105">
        <v>57</v>
      </c>
      <c r="AJ16" s="105">
        <v>10008</v>
      </c>
      <c r="AK16" s="105">
        <v>430.6</v>
      </c>
      <c r="AL16" s="89"/>
      <c r="AM16" s="89"/>
    </row>
    <row r="17" spans="1:39" x14ac:dyDescent="0.3">
      <c r="N17" s="59"/>
      <c r="O17" s="59"/>
      <c r="P17" s="59"/>
      <c r="Q17" s="61"/>
      <c r="R17" s="61"/>
      <c r="S17" s="61"/>
      <c r="T17" s="61"/>
      <c r="U17" s="89"/>
      <c r="V17" s="104" t="s">
        <v>384</v>
      </c>
      <c r="W17" s="104" t="s">
        <v>385</v>
      </c>
      <c r="X17" s="104">
        <v>49.47</v>
      </c>
      <c r="Y17" s="104">
        <v>350</v>
      </c>
      <c r="Z17" s="104">
        <v>100</v>
      </c>
      <c r="AA17" s="104">
        <v>12.5</v>
      </c>
      <c r="AB17" s="104">
        <v>7.4</v>
      </c>
      <c r="AC17" s="104">
        <v>13.72</v>
      </c>
      <c r="AD17" s="104">
        <v>2.82</v>
      </c>
      <c r="AE17" s="104">
        <v>532.1</v>
      </c>
      <c r="AF17" s="104">
        <v>622.95000000000005</v>
      </c>
      <c r="AG17" s="105">
        <v>13</v>
      </c>
      <c r="AH17" s="105">
        <v>532.1</v>
      </c>
      <c r="AI17" s="105">
        <v>52</v>
      </c>
      <c r="AJ17" s="105">
        <v>9312.6</v>
      </c>
      <c r="AK17" s="105">
        <v>394.6</v>
      </c>
      <c r="AL17" s="89"/>
      <c r="AM17" s="89"/>
    </row>
    <row r="18" spans="1:39" x14ac:dyDescent="0.3">
      <c r="A18" s="52">
        <v>1</v>
      </c>
      <c r="B18" s="56" t="s">
        <v>241</v>
      </c>
      <c r="C18" s="50">
        <f>C10*1000*C7*1</f>
        <v>300</v>
      </c>
      <c r="D18" s="57" t="s">
        <v>242</v>
      </c>
      <c r="N18" s="59"/>
      <c r="O18" s="59"/>
      <c r="P18" s="59"/>
      <c r="Q18" s="61"/>
      <c r="R18" s="61"/>
      <c r="S18" s="61"/>
      <c r="T18" s="60"/>
      <c r="U18" s="89"/>
      <c r="V18" s="104" t="s">
        <v>386</v>
      </c>
      <c r="W18" s="104" t="s">
        <v>387</v>
      </c>
      <c r="X18" s="104">
        <v>45.64</v>
      </c>
      <c r="Y18" s="104">
        <v>300</v>
      </c>
      <c r="Z18" s="104">
        <v>90</v>
      </c>
      <c r="AA18" s="104">
        <v>13.6</v>
      </c>
      <c r="AB18" s="104">
        <v>7.6</v>
      </c>
      <c r="AC18" s="104">
        <v>11.81</v>
      </c>
      <c r="AD18" s="104">
        <v>2.61</v>
      </c>
      <c r="AE18" s="104">
        <v>424.2</v>
      </c>
      <c r="AF18" s="104">
        <v>496.77</v>
      </c>
      <c r="AG18" s="105">
        <v>13</v>
      </c>
      <c r="AH18" s="105">
        <v>424.2</v>
      </c>
      <c r="AI18" s="105">
        <v>46.8</v>
      </c>
      <c r="AJ18" s="105">
        <v>6362.6</v>
      </c>
      <c r="AK18" s="105">
        <v>310.8</v>
      </c>
      <c r="AL18" s="89"/>
      <c r="AM18" s="89"/>
    </row>
    <row r="19" spans="1:39" x14ac:dyDescent="0.3">
      <c r="A19" s="52">
        <v>2</v>
      </c>
      <c r="B19" s="56" t="s">
        <v>238</v>
      </c>
      <c r="C19" s="50">
        <f>C11*1000*C7*1</f>
        <v>4000</v>
      </c>
      <c r="D19" s="57" t="s">
        <v>242</v>
      </c>
      <c r="N19" s="59"/>
      <c r="O19" s="59"/>
      <c r="P19" s="59"/>
      <c r="Q19" s="61"/>
      <c r="R19" s="61"/>
      <c r="S19" s="61"/>
      <c r="T19" s="60"/>
      <c r="U19" s="89"/>
      <c r="V19" s="104" t="s">
        <v>388</v>
      </c>
      <c r="W19" s="106" t="s">
        <v>389</v>
      </c>
      <c r="X19" s="104">
        <v>42.11</v>
      </c>
      <c r="Y19" s="104">
        <v>300</v>
      </c>
      <c r="Z19" s="104">
        <v>100</v>
      </c>
      <c r="AA19" s="104">
        <v>11.6</v>
      </c>
      <c r="AB19" s="104">
        <v>6.7</v>
      </c>
      <c r="AC19" s="104">
        <v>11.98</v>
      </c>
      <c r="AD19" s="104">
        <v>2.87</v>
      </c>
      <c r="AE19" s="104">
        <v>403.2</v>
      </c>
      <c r="AF19" s="104">
        <v>466.73</v>
      </c>
      <c r="AG19" s="105">
        <v>12</v>
      </c>
      <c r="AH19" s="105">
        <v>403.2</v>
      </c>
      <c r="AI19" s="105">
        <v>46.4</v>
      </c>
      <c r="AJ19" s="105">
        <v>6047.9</v>
      </c>
      <c r="AK19" s="105">
        <v>346</v>
      </c>
      <c r="AL19" s="89"/>
      <c r="AM19" s="89"/>
    </row>
    <row r="20" spans="1:39" x14ac:dyDescent="0.3">
      <c r="A20" s="52">
        <v>3</v>
      </c>
      <c r="B20" s="56" t="s">
        <v>243</v>
      </c>
      <c r="C20" s="50">
        <f>C13</f>
        <v>0</v>
      </c>
      <c r="D20" s="57" t="s">
        <v>242</v>
      </c>
      <c r="N20" s="59"/>
      <c r="O20" s="59"/>
      <c r="P20" s="59"/>
      <c r="Q20" s="61"/>
      <c r="R20" s="61"/>
      <c r="S20" s="61"/>
      <c r="T20" s="60"/>
      <c r="U20" s="89"/>
      <c r="V20" s="104" t="s">
        <v>390</v>
      </c>
      <c r="W20" s="104" t="s">
        <v>391</v>
      </c>
      <c r="X20" s="104">
        <v>38.67</v>
      </c>
      <c r="Y20" s="104">
        <v>250</v>
      </c>
      <c r="Z20" s="104">
        <v>80</v>
      </c>
      <c r="AA20" s="104">
        <v>14.1</v>
      </c>
      <c r="AB20" s="104">
        <v>7.1</v>
      </c>
      <c r="AC20" s="104">
        <v>9.94</v>
      </c>
      <c r="AD20" s="104">
        <v>2.38</v>
      </c>
      <c r="AE20" s="104">
        <v>305.3</v>
      </c>
      <c r="AF20" s="104">
        <v>356.72</v>
      </c>
      <c r="AG20" s="105">
        <v>12</v>
      </c>
      <c r="AH20" s="105">
        <v>605.29999999999995</v>
      </c>
      <c r="AI20" s="105">
        <v>38.4</v>
      </c>
      <c r="AJ20" s="105">
        <v>3816.8</v>
      </c>
      <c r="AK20" s="105">
        <v>219.1</v>
      </c>
      <c r="AL20" s="89"/>
      <c r="AM20" s="89"/>
    </row>
    <row r="21" spans="1:39" x14ac:dyDescent="0.3">
      <c r="A21" s="52">
        <v>4</v>
      </c>
      <c r="B21" s="56" t="s">
        <v>245</v>
      </c>
      <c r="C21" s="53">
        <f>1.5*(C18+C19+C20)/1000</f>
        <v>6.45</v>
      </c>
      <c r="D21" s="57" t="s">
        <v>207</v>
      </c>
      <c r="N21" s="59"/>
      <c r="O21" s="59"/>
      <c r="P21" s="59"/>
      <c r="Q21" s="61"/>
      <c r="R21" s="61"/>
      <c r="S21" s="61"/>
      <c r="T21" s="61"/>
      <c r="U21" s="89"/>
      <c r="V21" s="104" t="s">
        <v>392</v>
      </c>
      <c r="W21" s="104">
        <v>28</v>
      </c>
      <c r="X21" s="104">
        <v>35.65</v>
      </c>
      <c r="Y21" s="104">
        <v>250</v>
      </c>
      <c r="Z21" s="104">
        <v>100</v>
      </c>
      <c r="AA21" s="104">
        <v>10.7</v>
      </c>
      <c r="AB21" s="104">
        <v>6.1</v>
      </c>
      <c r="AC21" s="104">
        <v>10.17</v>
      </c>
      <c r="AD21" s="104">
        <v>2.89</v>
      </c>
      <c r="AE21" s="104">
        <v>295</v>
      </c>
      <c r="AF21" s="104">
        <v>338.11</v>
      </c>
      <c r="AG21" s="105">
        <v>11</v>
      </c>
      <c r="AH21" s="105">
        <v>295</v>
      </c>
      <c r="AI21" s="105">
        <v>40.9</v>
      </c>
      <c r="AJ21" s="105">
        <v>3687.9</v>
      </c>
      <c r="AK21" s="105">
        <v>298.39999999999998</v>
      </c>
      <c r="AL21" s="89"/>
      <c r="AM21" s="89"/>
    </row>
    <row r="22" spans="1:39" x14ac:dyDescent="0.3">
      <c r="A22" s="52"/>
      <c r="N22" s="59"/>
      <c r="O22" s="59"/>
      <c r="P22" s="59"/>
      <c r="Q22" s="61"/>
      <c r="R22" s="61"/>
      <c r="S22" s="60"/>
      <c r="T22" s="60"/>
      <c r="U22" s="89"/>
      <c r="V22" s="104" t="s">
        <v>393</v>
      </c>
      <c r="W22" s="104" t="s">
        <v>394</v>
      </c>
      <c r="X22" s="104">
        <v>33.01</v>
      </c>
      <c r="Y22" s="104">
        <v>225</v>
      </c>
      <c r="Z22" s="104">
        <v>80</v>
      </c>
      <c r="AA22" s="104">
        <v>12.4</v>
      </c>
      <c r="AB22" s="104">
        <v>6.4</v>
      </c>
      <c r="AC22" s="104">
        <v>9.0299999999999994</v>
      </c>
      <c r="AD22" s="104">
        <v>2.38</v>
      </c>
      <c r="AE22" s="104">
        <v>239.5</v>
      </c>
      <c r="AF22" s="104">
        <v>277.93</v>
      </c>
      <c r="AG22" s="105">
        <v>12</v>
      </c>
      <c r="AH22" s="105">
        <v>239.5</v>
      </c>
      <c r="AI22" s="105">
        <v>32.799999999999997</v>
      </c>
      <c r="AJ22" s="105">
        <v>2694.6</v>
      </c>
      <c r="AK22" s="105">
        <v>187.2</v>
      </c>
      <c r="AL22" s="89"/>
      <c r="AM22" s="89"/>
    </row>
    <row r="23" spans="1:39" x14ac:dyDescent="0.3">
      <c r="A23" s="52">
        <v>5</v>
      </c>
      <c r="B23" s="56" t="s">
        <v>246</v>
      </c>
      <c r="C23" s="50">
        <f>1.5*C12*C7*1*(-1)</f>
        <v>-1.5</v>
      </c>
      <c r="D23" s="57" t="s">
        <v>207</v>
      </c>
      <c r="N23" s="59"/>
      <c r="O23" s="59"/>
      <c r="P23" s="59"/>
      <c r="Q23" s="61"/>
      <c r="R23" s="61"/>
      <c r="S23" s="61"/>
      <c r="T23" s="60"/>
      <c r="U23" s="89"/>
      <c r="V23" s="104" t="s">
        <v>395</v>
      </c>
      <c r="W23" s="104" t="s">
        <v>396</v>
      </c>
      <c r="X23" s="104">
        <v>30.53</v>
      </c>
      <c r="Y23" s="104">
        <v>225</v>
      </c>
      <c r="Z23" s="104">
        <v>90</v>
      </c>
      <c r="AA23" s="104">
        <v>10.199999999999999</v>
      </c>
      <c r="AB23" s="104">
        <v>5.8</v>
      </c>
      <c r="AC23" s="104">
        <v>9.14</v>
      </c>
      <c r="AD23" s="104">
        <v>2.62</v>
      </c>
      <c r="AE23" s="104">
        <v>226.5</v>
      </c>
      <c r="AF23" s="104">
        <v>260.13</v>
      </c>
      <c r="AG23" s="105">
        <v>11</v>
      </c>
      <c r="AH23" s="105">
        <v>226.5</v>
      </c>
      <c r="AI23" s="105">
        <v>32</v>
      </c>
      <c r="AJ23" s="105">
        <v>2547.9</v>
      </c>
      <c r="AK23" s="105">
        <v>209.5</v>
      </c>
      <c r="AL23" s="89"/>
      <c r="AM23" s="89"/>
    </row>
    <row r="24" spans="1:39" x14ac:dyDescent="0.3">
      <c r="A24" s="52"/>
      <c r="C24" s="55"/>
      <c r="N24" s="59"/>
      <c r="O24" s="59"/>
      <c r="P24" s="59"/>
      <c r="Q24" s="61"/>
      <c r="R24" s="61"/>
      <c r="S24" s="61"/>
      <c r="T24" s="60"/>
      <c r="U24" s="89"/>
      <c r="V24" s="104" t="s">
        <v>397</v>
      </c>
      <c r="W24" s="104" t="s">
        <v>398</v>
      </c>
      <c r="X24" s="104">
        <v>28.21</v>
      </c>
      <c r="Y24" s="104">
        <v>200</v>
      </c>
      <c r="Z24" s="104">
        <v>75</v>
      </c>
      <c r="AA24" s="104">
        <v>11.4</v>
      </c>
      <c r="AB24" s="104">
        <v>6.1</v>
      </c>
      <c r="AC24" s="104">
        <v>8.0299999999999994</v>
      </c>
      <c r="AD24" s="104">
        <v>2.23</v>
      </c>
      <c r="AE24" s="104">
        <v>181.9</v>
      </c>
      <c r="AF24" s="104">
        <v>211.25</v>
      </c>
      <c r="AG24" s="105">
        <v>11</v>
      </c>
      <c r="AH24" s="105">
        <v>181.9</v>
      </c>
      <c r="AI24" s="105">
        <v>26.3</v>
      </c>
      <c r="AJ24" s="105">
        <v>1819.3</v>
      </c>
      <c r="AK24" s="105">
        <v>140.4</v>
      </c>
      <c r="AL24" s="89"/>
      <c r="AM24" s="89"/>
    </row>
    <row r="25" spans="1:39" x14ac:dyDescent="0.3">
      <c r="A25" s="52">
        <v>6</v>
      </c>
      <c r="B25" s="56" t="s">
        <v>247</v>
      </c>
      <c r="C25" s="50">
        <f>(MAX(1.2*(C18+C19+C20+C23)/1000,C21)*COS(RADIANS(C6)))</f>
        <v>6.0610174040691094</v>
      </c>
      <c r="D25" s="57" t="s">
        <v>207</v>
      </c>
      <c r="N25" s="59"/>
      <c r="O25" s="59"/>
      <c r="P25" s="59"/>
      <c r="Q25" s="61"/>
      <c r="R25" s="60"/>
      <c r="S25" s="61"/>
      <c r="T25" s="60"/>
      <c r="U25" s="89"/>
      <c r="V25" s="104" t="s">
        <v>399</v>
      </c>
      <c r="W25" s="104" t="s">
        <v>400</v>
      </c>
      <c r="X25" s="104">
        <v>26.22</v>
      </c>
      <c r="Y25" s="104">
        <v>200</v>
      </c>
      <c r="Z25" s="104">
        <v>75</v>
      </c>
      <c r="AA25" s="104">
        <v>10.8</v>
      </c>
      <c r="AB25" s="104">
        <v>5.5</v>
      </c>
      <c r="AC25" s="104">
        <v>8.11</v>
      </c>
      <c r="AD25" s="104">
        <v>2.37</v>
      </c>
      <c r="AE25" s="104">
        <v>172.6</v>
      </c>
      <c r="AF25" s="104">
        <v>198.77</v>
      </c>
      <c r="AG25" s="105">
        <v>8.5</v>
      </c>
      <c r="AH25" s="105">
        <v>172.6</v>
      </c>
      <c r="AI25" s="105">
        <v>28.5</v>
      </c>
      <c r="AJ25" s="105">
        <v>1725.5</v>
      </c>
      <c r="AK25" s="105">
        <v>146.9</v>
      </c>
      <c r="AL25" s="89"/>
      <c r="AM25" s="89"/>
    </row>
    <row r="26" spans="1:39" x14ac:dyDescent="0.3">
      <c r="A26" s="52">
        <v>7</v>
      </c>
      <c r="B26" s="47" t="s">
        <v>248</v>
      </c>
      <c r="C26" s="50">
        <f>(SIN(RADIANS(C6)))*C21</f>
        <v>2.2060299244505632</v>
      </c>
      <c r="D26" s="51" t="s">
        <v>207</v>
      </c>
      <c r="N26" s="59"/>
      <c r="O26" s="59"/>
      <c r="P26" s="59"/>
      <c r="Q26" s="61"/>
      <c r="R26" s="61"/>
      <c r="S26" s="60"/>
      <c r="T26" s="60"/>
      <c r="U26" s="89"/>
      <c r="V26" s="104" t="s">
        <v>401</v>
      </c>
      <c r="W26" s="104" t="s">
        <v>402</v>
      </c>
      <c r="X26" s="104">
        <v>24.38</v>
      </c>
      <c r="Y26" s="104">
        <v>175</v>
      </c>
      <c r="Z26" s="104">
        <v>75</v>
      </c>
      <c r="AA26" s="104">
        <v>10.199999999999999</v>
      </c>
      <c r="AB26" s="104">
        <v>5.7</v>
      </c>
      <c r="AC26" s="104">
        <v>7.08</v>
      </c>
      <c r="AD26" s="104">
        <v>2.23</v>
      </c>
      <c r="AE26" s="104">
        <v>139.80000000000001</v>
      </c>
      <c r="AF26" s="104">
        <v>161.65</v>
      </c>
      <c r="AG26" s="105">
        <v>10.5</v>
      </c>
      <c r="AH26" s="105">
        <v>139.80000000000001</v>
      </c>
      <c r="AI26" s="105">
        <v>22.8</v>
      </c>
      <c r="AJ26" s="105">
        <v>1223.3</v>
      </c>
      <c r="AK26" s="105">
        <v>121</v>
      </c>
      <c r="AL26" s="89"/>
      <c r="AM26" s="89"/>
    </row>
    <row r="27" spans="1:39" x14ac:dyDescent="0.3">
      <c r="N27" s="59"/>
      <c r="O27" s="59"/>
      <c r="P27" s="59"/>
      <c r="Q27" s="61"/>
      <c r="R27" s="71"/>
      <c r="S27" s="61"/>
      <c r="T27" s="60"/>
      <c r="U27" s="89"/>
      <c r="V27" s="104" t="s">
        <v>403</v>
      </c>
      <c r="W27" s="104" t="s">
        <v>404</v>
      </c>
      <c r="X27" s="104">
        <v>22.4</v>
      </c>
      <c r="Y27" s="104">
        <v>175</v>
      </c>
      <c r="Z27" s="104">
        <v>75</v>
      </c>
      <c r="AA27" s="104">
        <v>9.5</v>
      </c>
      <c r="AB27" s="104">
        <v>5.0999999999999996</v>
      </c>
      <c r="AC27" s="104">
        <v>7.16</v>
      </c>
      <c r="AD27" s="104">
        <v>2.38</v>
      </c>
      <c r="AE27" s="104">
        <v>131.30000000000001</v>
      </c>
      <c r="AF27" s="104">
        <v>150.36000000000001</v>
      </c>
      <c r="AG27" s="105">
        <v>8</v>
      </c>
      <c r="AH27" s="105">
        <v>131.30000000000001</v>
      </c>
      <c r="AI27" s="105">
        <v>24.8</v>
      </c>
      <c r="AJ27" s="105">
        <v>1148.4000000000001</v>
      </c>
      <c r="AK27" s="105">
        <v>126.5</v>
      </c>
      <c r="AL27" s="89"/>
      <c r="AM27" s="89"/>
    </row>
    <row r="28" spans="1:39" ht="15.6" x14ac:dyDescent="0.3">
      <c r="B28" s="54" t="s">
        <v>250</v>
      </c>
      <c r="N28" s="59"/>
      <c r="O28" s="59"/>
      <c r="P28" s="59"/>
      <c r="Q28" s="61"/>
      <c r="R28" s="60"/>
      <c r="S28" s="61"/>
      <c r="T28" s="61"/>
      <c r="U28" s="89"/>
      <c r="V28" s="104"/>
      <c r="W28" s="104"/>
      <c r="X28" s="104"/>
      <c r="Y28" s="104"/>
      <c r="Z28" s="104"/>
      <c r="AA28" s="104"/>
      <c r="AB28" s="104"/>
      <c r="AC28" s="104"/>
      <c r="AD28" s="104"/>
      <c r="AE28" s="106"/>
      <c r="AF28" s="104"/>
      <c r="AG28" s="105"/>
      <c r="AH28" s="105"/>
      <c r="AI28" s="105"/>
      <c r="AJ28" s="105"/>
      <c r="AK28" s="105"/>
      <c r="AL28" s="89"/>
      <c r="AM28" s="89"/>
    </row>
    <row r="29" spans="1:39" x14ac:dyDescent="0.3">
      <c r="A29" s="84" t="s">
        <v>209</v>
      </c>
      <c r="B29" s="81" t="s">
        <v>416</v>
      </c>
      <c r="C29" s="53" t="s">
        <v>433</v>
      </c>
      <c r="N29" s="59"/>
      <c r="O29" s="59"/>
      <c r="P29" s="59"/>
      <c r="Q29" s="61"/>
      <c r="R29" s="61"/>
      <c r="S29" s="61"/>
      <c r="T29" s="61"/>
      <c r="U29" s="89"/>
      <c r="V29" s="104" t="s">
        <v>405</v>
      </c>
      <c r="W29" s="104">
        <v>16.399999999999999</v>
      </c>
      <c r="X29" s="104">
        <v>20.88</v>
      </c>
      <c r="Y29" s="104">
        <v>150</v>
      </c>
      <c r="Z29" s="104">
        <v>75</v>
      </c>
      <c r="AA29" s="104">
        <v>9</v>
      </c>
      <c r="AB29" s="104">
        <v>5.4</v>
      </c>
      <c r="AC29" s="104" t="s">
        <v>406</v>
      </c>
      <c r="AD29" s="104">
        <v>2.21</v>
      </c>
      <c r="AE29" s="104">
        <v>103.9</v>
      </c>
      <c r="AF29" s="106">
        <v>119.82</v>
      </c>
      <c r="AG29" s="105">
        <v>10</v>
      </c>
      <c r="AH29" s="105">
        <v>103.9</v>
      </c>
      <c r="AI29" s="105">
        <v>19.399999999999999</v>
      </c>
      <c r="AJ29" s="105">
        <v>779.4</v>
      </c>
      <c r="AK29" s="105">
        <v>102.3</v>
      </c>
      <c r="AL29" s="89"/>
      <c r="AM29" s="89"/>
    </row>
    <row r="30" spans="1:39" x14ac:dyDescent="0.3">
      <c r="A30" s="52">
        <v>1</v>
      </c>
      <c r="B30" s="48" t="s">
        <v>368</v>
      </c>
      <c r="C30" s="50">
        <f>IF(C29="Simply supported",C25*C5*C5/8,C25*C5*C5/10)</f>
        <v>9.6976278465105743</v>
      </c>
      <c r="D30" s="51" t="s">
        <v>213</v>
      </c>
      <c r="N30" s="59"/>
      <c r="O30" s="59"/>
      <c r="P30" s="59"/>
      <c r="Q30" s="61"/>
      <c r="R30" s="60"/>
      <c r="S30" s="60"/>
      <c r="T30" s="61"/>
      <c r="U30" s="89"/>
      <c r="V30" s="104" t="s">
        <v>407</v>
      </c>
      <c r="W30" s="104">
        <v>14.4</v>
      </c>
      <c r="X30" s="104">
        <v>18.36</v>
      </c>
      <c r="Y30" s="104">
        <v>150</v>
      </c>
      <c r="Z30" s="104">
        <v>75</v>
      </c>
      <c r="AA30" s="104">
        <v>7.8</v>
      </c>
      <c r="AB30" s="104">
        <v>4.8</v>
      </c>
      <c r="AC30" s="104">
        <v>6.16</v>
      </c>
      <c r="AD30" s="104">
        <v>2.37</v>
      </c>
      <c r="AE30" s="104">
        <v>93</v>
      </c>
      <c r="AF30" s="104">
        <v>106.17</v>
      </c>
      <c r="AG30" s="105">
        <v>8</v>
      </c>
      <c r="AH30" s="105">
        <v>93</v>
      </c>
      <c r="AI30" s="105">
        <v>20.2</v>
      </c>
      <c r="AJ30" s="105">
        <v>697.2</v>
      </c>
      <c r="AK30" s="105">
        <v>103.2</v>
      </c>
      <c r="AL30" s="89"/>
      <c r="AM30" s="89"/>
    </row>
    <row r="31" spans="1:39" x14ac:dyDescent="0.3">
      <c r="A31" s="52">
        <v>2</v>
      </c>
      <c r="B31" s="48" t="s">
        <v>251</v>
      </c>
      <c r="C31" s="50">
        <f>IF(C29="Simply supported",C26*C5*C5/8,C26*C5*C5/10)</f>
        <v>3.5296478791209012</v>
      </c>
      <c r="D31" s="51" t="s">
        <v>213</v>
      </c>
      <c r="N31" s="59"/>
      <c r="O31" s="59"/>
      <c r="P31" s="59"/>
      <c r="Q31" s="61"/>
      <c r="R31" s="59"/>
      <c r="S31" s="61"/>
      <c r="T31" s="61"/>
      <c r="U31" s="89"/>
      <c r="V31" s="104"/>
      <c r="W31" s="104"/>
      <c r="X31" s="104"/>
      <c r="Y31" s="104"/>
      <c r="Z31" s="104"/>
      <c r="AA31" s="104"/>
      <c r="AB31" s="104"/>
      <c r="AC31" s="104"/>
      <c r="AD31" s="104"/>
      <c r="AE31" s="104"/>
      <c r="AF31" s="104"/>
      <c r="AG31" s="105"/>
      <c r="AH31" s="105"/>
      <c r="AI31" s="105"/>
      <c r="AJ31" s="105"/>
      <c r="AK31" s="105"/>
      <c r="AL31" s="89"/>
      <c r="AM31" s="89"/>
    </row>
    <row r="32" spans="1:39" ht="15.6" x14ac:dyDescent="0.3">
      <c r="A32" s="58"/>
      <c r="B32" s="54" t="s">
        <v>430</v>
      </c>
      <c r="D32" s="51"/>
      <c r="N32" s="59"/>
      <c r="O32" s="59"/>
      <c r="P32" s="59"/>
      <c r="Q32" s="61"/>
      <c r="R32" s="59"/>
      <c r="S32" s="61"/>
      <c r="T32" s="61"/>
      <c r="U32" s="89"/>
      <c r="V32" s="104" t="s">
        <v>408</v>
      </c>
      <c r="W32" s="104">
        <v>12.7</v>
      </c>
      <c r="X32" s="104">
        <v>16.190000000000001</v>
      </c>
      <c r="Y32" s="104">
        <v>125</v>
      </c>
      <c r="Z32" s="104">
        <v>65</v>
      </c>
      <c r="AA32" s="104">
        <v>8.1</v>
      </c>
      <c r="AB32" s="104">
        <v>5</v>
      </c>
      <c r="AC32" s="104">
        <v>5.07</v>
      </c>
      <c r="AD32" s="104">
        <v>1.92</v>
      </c>
      <c r="AE32" s="104">
        <v>66.599999999999994</v>
      </c>
      <c r="AF32" s="104">
        <v>77.150000000000006</v>
      </c>
      <c r="AG32" s="105">
        <v>9.5</v>
      </c>
      <c r="AH32" s="105">
        <v>66.599999999999994</v>
      </c>
      <c r="AI32" s="105">
        <v>13.1</v>
      </c>
      <c r="AJ32" s="105">
        <v>416.4</v>
      </c>
      <c r="AK32" s="105">
        <v>59.9</v>
      </c>
      <c r="AL32" s="89"/>
      <c r="AM32" s="89"/>
    </row>
    <row r="33" spans="1:39" x14ac:dyDescent="0.3">
      <c r="A33" s="69">
        <v>1</v>
      </c>
      <c r="B33" s="47" t="s">
        <v>417</v>
      </c>
      <c r="C33" s="50">
        <f>C25*C5/2</f>
        <v>12.122034808138219</v>
      </c>
      <c r="D33" s="51" t="s">
        <v>431</v>
      </c>
      <c r="N33" s="59"/>
      <c r="O33" s="59"/>
      <c r="P33" s="59"/>
      <c r="Q33" s="61"/>
      <c r="R33" s="59"/>
      <c r="S33" s="61"/>
      <c r="T33" s="61"/>
      <c r="U33" s="89"/>
      <c r="V33" s="104"/>
      <c r="W33" s="104"/>
      <c r="X33" s="104"/>
      <c r="Y33" s="104"/>
      <c r="Z33" s="104"/>
      <c r="AA33" s="104"/>
      <c r="AB33" s="104"/>
      <c r="AC33" s="104"/>
      <c r="AD33" s="104"/>
      <c r="AE33" s="104"/>
      <c r="AF33" s="104"/>
      <c r="AG33" s="105"/>
      <c r="AH33" s="105"/>
      <c r="AI33" s="105"/>
      <c r="AJ33" s="105"/>
      <c r="AK33" s="105"/>
      <c r="AL33" s="89"/>
      <c r="AM33" s="89"/>
    </row>
    <row r="34" spans="1:39" x14ac:dyDescent="0.3">
      <c r="A34" s="69">
        <v>2</v>
      </c>
      <c r="B34" s="81" t="s">
        <v>418</v>
      </c>
      <c r="C34" s="50">
        <f>C26*C5/2</f>
        <v>4.4120598489011265</v>
      </c>
      <c r="D34" s="51" t="s">
        <v>431</v>
      </c>
      <c r="N34" s="59"/>
      <c r="O34" s="59"/>
      <c r="P34" s="59"/>
      <c r="Q34" s="61"/>
      <c r="R34" s="59"/>
      <c r="S34" s="61"/>
      <c r="T34" s="61"/>
      <c r="U34" s="89"/>
      <c r="V34" s="104" t="s">
        <v>409</v>
      </c>
      <c r="W34" s="104">
        <v>10.7</v>
      </c>
      <c r="X34" s="104">
        <v>13.67</v>
      </c>
      <c r="Y34" s="104">
        <v>125</v>
      </c>
      <c r="Z34" s="104">
        <v>65</v>
      </c>
      <c r="AA34" s="104">
        <v>6.6</v>
      </c>
      <c r="AB34" s="104">
        <v>4.4000000000000004</v>
      </c>
      <c r="AC34" s="104" t="s">
        <v>410</v>
      </c>
      <c r="AD34" s="104">
        <v>2.0499999999999998</v>
      </c>
      <c r="AE34" s="104">
        <v>57.1</v>
      </c>
      <c r="AF34" s="104">
        <v>65.45</v>
      </c>
      <c r="AG34" s="105">
        <v>7</v>
      </c>
      <c r="AH34" s="105">
        <v>57.1</v>
      </c>
      <c r="AI34" s="105">
        <v>12.8</v>
      </c>
      <c r="AJ34" s="105">
        <v>356.8</v>
      </c>
      <c r="AK34" s="105">
        <v>57.2</v>
      </c>
      <c r="AL34" s="89"/>
      <c r="AM34" s="89"/>
    </row>
    <row r="35" spans="1:39" x14ac:dyDescent="0.3">
      <c r="A35" s="58"/>
      <c r="D35" s="51"/>
      <c r="N35" s="59"/>
      <c r="O35" s="59"/>
      <c r="P35" s="59"/>
      <c r="Q35" s="61"/>
      <c r="R35" s="59"/>
      <c r="S35" s="61"/>
      <c r="T35" s="61"/>
      <c r="U35" s="89"/>
      <c r="V35" s="104"/>
      <c r="W35" s="104"/>
      <c r="X35" s="104"/>
      <c r="Y35" s="104"/>
      <c r="Z35" s="104"/>
      <c r="AA35" s="104"/>
      <c r="AB35" s="104"/>
      <c r="AC35" s="104"/>
      <c r="AD35" s="104"/>
      <c r="AE35" s="104"/>
      <c r="AF35" s="104"/>
      <c r="AG35" s="105"/>
      <c r="AH35" s="105"/>
      <c r="AI35" s="105"/>
      <c r="AJ35" s="105"/>
      <c r="AK35" s="105"/>
      <c r="AL35" s="89"/>
      <c r="AM35" s="89"/>
    </row>
    <row r="36" spans="1:39" ht="14.4" customHeight="1" x14ac:dyDescent="0.3">
      <c r="A36" s="58"/>
      <c r="B36" s="37" t="s">
        <v>256</v>
      </c>
      <c r="C36" s="6">
        <v>2.5</v>
      </c>
      <c r="D36" s="46"/>
      <c r="N36" s="59"/>
      <c r="O36" s="59"/>
      <c r="P36" s="59"/>
      <c r="Q36" s="61"/>
      <c r="R36" s="59"/>
      <c r="S36" s="60"/>
      <c r="T36" s="61"/>
      <c r="U36" s="89"/>
      <c r="V36" s="104" t="s">
        <v>411</v>
      </c>
      <c r="W36" s="104">
        <v>9.1999999999999993</v>
      </c>
      <c r="X36" s="106">
        <v>11.7</v>
      </c>
      <c r="Y36" s="104">
        <v>100</v>
      </c>
      <c r="Z36" s="104">
        <v>50</v>
      </c>
      <c r="AA36" s="104">
        <v>7.5</v>
      </c>
      <c r="AB36" s="104">
        <v>4.7</v>
      </c>
      <c r="AC36" s="104">
        <v>4</v>
      </c>
      <c r="AD36" s="104">
        <v>1.49</v>
      </c>
      <c r="AE36" s="104">
        <v>37.299999999999997</v>
      </c>
      <c r="AF36" s="104">
        <v>43.83</v>
      </c>
      <c r="AG36" s="105">
        <v>6</v>
      </c>
      <c r="AH36" s="105">
        <v>32.9</v>
      </c>
      <c r="AI36" s="105">
        <v>7.3</v>
      </c>
      <c r="AJ36" s="105">
        <v>186.7</v>
      </c>
      <c r="AK36" s="105">
        <v>25.9</v>
      </c>
      <c r="AL36" s="89"/>
      <c r="AM36" s="89"/>
    </row>
    <row r="37" spans="1:39" x14ac:dyDescent="0.3">
      <c r="A37" s="58"/>
      <c r="D37" s="51"/>
      <c r="G37" s="62"/>
      <c r="H37" s="62"/>
      <c r="I37" s="62"/>
      <c r="J37" s="62"/>
      <c r="K37" s="62"/>
      <c r="L37" s="62"/>
      <c r="M37" s="62"/>
      <c r="N37" s="59"/>
      <c r="O37" s="59"/>
      <c r="P37" s="59"/>
      <c r="Q37" s="61"/>
      <c r="R37" s="59"/>
      <c r="S37" s="61"/>
      <c r="T37" s="61"/>
      <c r="U37" s="89"/>
      <c r="V37" s="104" t="s">
        <v>412</v>
      </c>
      <c r="W37" s="104">
        <v>7.9</v>
      </c>
      <c r="X37" s="104">
        <v>10.02</v>
      </c>
      <c r="Y37" s="104">
        <v>100</v>
      </c>
      <c r="Z37" s="104">
        <v>50</v>
      </c>
      <c r="AA37" s="104">
        <v>6.4</v>
      </c>
      <c r="AB37" s="104">
        <v>4</v>
      </c>
      <c r="AC37" s="104">
        <v>4.0599999999999996</v>
      </c>
      <c r="AD37" s="104">
        <v>1.57</v>
      </c>
      <c r="AE37" s="104">
        <v>32.9</v>
      </c>
      <c r="AF37" s="104">
        <v>38.090000000000003</v>
      </c>
      <c r="AG37" s="105">
        <v>6</v>
      </c>
      <c r="AH37" s="105">
        <v>32.9</v>
      </c>
      <c r="AI37" s="105">
        <v>7.3</v>
      </c>
      <c r="AJ37" s="105">
        <v>164.7</v>
      </c>
      <c r="AK37" s="105">
        <v>24.8</v>
      </c>
      <c r="AL37" s="89"/>
      <c r="AM37" s="89"/>
    </row>
    <row r="38" spans="1:39" x14ac:dyDescent="0.3">
      <c r="A38" s="69">
        <v>3</v>
      </c>
      <c r="B38" s="47" t="s">
        <v>252</v>
      </c>
      <c r="C38" s="50">
        <f>((C30*1.1*1000000/C14)+((2.5*C36*1000000*C31*1.1)/(C14)))/1000</f>
        <v>139.73487920047134</v>
      </c>
      <c r="D38" s="51" t="s">
        <v>220</v>
      </c>
      <c r="G38" s="62"/>
      <c r="H38" s="62"/>
      <c r="I38" s="62"/>
      <c r="J38" s="62"/>
      <c r="K38" s="62"/>
      <c r="L38" s="62"/>
      <c r="M38" s="62"/>
      <c r="N38" s="59"/>
      <c r="O38" s="59"/>
      <c r="P38" s="59"/>
      <c r="Q38" s="61"/>
      <c r="R38" s="59"/>
      <c r="S38" s="61"/>
      <c r="T38" s="61"/>
      <c r="U38" s="89"/>
      <c r="V38" s="104"/>
      <c r="W38" s="104"/>
      <c r="X38" s="104"/>
      <c r="Y38" s="104"/>
      <c r="Z38" s="104"/>
      <c r="AA38" s="104"/>
      <c r="AB38" s="104"/>
      <c r="AC38" s="104"/>
      <c r="AD38" s="104"/>
      <c r="AE38" s="104"/>
      <c r="AF38" s="104"/>
      <c r="AG38" s="105"/>
      <c r="AH38" s="105"/>
      <c r="AI38" s="105"/>
      <c r="AJ38" s="105"/>
      <c r="AK38" s="105"/>
      <c r="AL38" s="89"/>
      <c r="AM38" s="89"/>
    </row>
    <row r="39" spans="1:39" x14ac:dyDescent="0.3">
      <c r="A39" s="58"/>
      <c r="B39" s="81"/>
      <c r="G39" s="62"/>
      <c r="H39" s="62"/>
      <c r="I39" s="62"/>
      <c r="J39" s="62"/>
      <c r="K39" s="62"/>
      <c r="L39" s="62"/>
      <c r="M39" s="62"/>
      <c r="N39" s="59"/>
      <c r="O39" s="59"/>
      <c r="P39" s="59"/>
      <c r="Q39" s="61"/>
      <c r="R39" s="59"/>
      <c r="S39" s="61"/>
      <c r="T39" s="61"/>
      <c r="U39" s="89"/>
      <c r="V39" s="104" t="s">
        <v>413</v>
      </c>
      <c r="W39" s="104">
        <v>6.8</v>
      </c>
      <c r="X39" s="104">
        <v>8.67</v>
      </c>
      <c r="Y39" s="104">
        <v>75</v>
      </c>
      <c r="Z39" s="104">
        <v>40</v>
      </c>
      <c r="AA39" s="104">
        <v>7.3</v>
      </c>
      <c r="AB39" s="104">
        <v>4.4000000000000004</v>
      </c>
      <c r="AC39" s="104">
        <v>2.96</v>
      </c>
      <c r="AD39" s="106">
        <v>1.21</v>
      </c>
      <c r="AE39" s="104">
        <v>20.8</v>
      </c>
      <c r="AF39" s="104">
        <v>24.17</v>
      </c>
      <c r="AG39" s="105">
        <v>8.5</v>
      </c>
      <c r="AH39" s="105">
        <v>20.3</v>
      </c>
      <c r="AI39" s="105">
        <v>4.7</v>
      </c>
      <c r="AJ39" s="105">
        <v>76</v>
      </c>
      <c r="AK39" s="105">
        <v>12.6</v>
      </c>
      <c r="AL39" s="89"/>
      <c r="AM39" s="89"/>
    </row>
    <row r="40" spans="1:39" ht="15.6" x14ac:dyDescent="0.3">
      <c r="A40" s="58"/>
      <c r="B40" s="54" t="s">
        <v>336</v>
      </c>
      <c r="D40" s="51"/>
      <c r="G40" s="62"/>
      <c r="H40" s="62"/>
      <c r="I40" s="62"/>
      <c r="J40" s="62"/>
      <c r="K40" s="62"/>
      <c r="L40" s="62"/>
      <c r="M40" s="62"/>
      <c r="N40" s="59"/>
      <c r="O40" s="59"/>
      <c r="P40" s="59"/>
      <c r="Q40" s="61"/>
      <c r="R40" s="59"/>
      <c r="S40" s="61"/>
      <c r="T40" s="61"/>
      <c r="U40" s="89"/>
      <c r="V40" s="104" t="s">
        <v>414</v>
      </c>
      <c r="W40" s="104" t="s">
        <v>415</v>
      </c>
      <c r="X40" s="104">
        <v>7.26</v>
      </c>
      <c r="Y40" s="104">
        <v>75</v>
      </c>
      <c r="Z40" s="104">
        <v>40</v>
      </c>
      <c r="AA40" s="104">
        <v>6</v>
      </c>
      <c r="AB40" s="104">
        <v>3.7</v>
      </c>
      <c r="AC40" s="104">
        <v>3.02</v>
      </c>
      <c r="AD40" s="104">
        <v>1.26</v>
      </c>
      <c r="AE40" s="104">
        <v>17.600000000000001</v>
      </c>
      <c r="AF40" s="104">
        <v>20.61</v>
      </c>
      <c r="AG40" s="105">
        <v>6</v>
      </c>
      <c r="AH40" s="105">
        <v>17.600000000000001</v>
      </c>
      <c r="AI40" s="105">
        <v>4.3</v>
      </c>
      <c r="AJ40" s="105">
        <v>66.099999999999994</v>
      </c>
      <c r="AK40" s="105">
        <v>11.5</v>
      </c>
      <c r="AL40" s="89"/>
      <c r="AM40" s="89"/>
    </row>
    <row r="41" spans="1:39" x14ac:dyDescent="0.3">
      <c r="A41" s="58"/>
      <c r="D41" s="51"/>
      <c r="G41" s="62"/>
      <c r="H41"/>
      <c r="I41" s="62"/>
      <c r="J41" s="62"/>
      <c r="K41" s="62"/>
      <c r="L41" s="62"/>
      <c r="M41" s="62"/>
      <c r="N41" s="59"/>
      <c r="O41" s="59"/>
      <c r="P41" s="59"/>
      <c r="Q41" s="61"/>
      <c r="R41" s="59"/>
      <c r="S41" s="61"/>
      <c r="T41" s="61"/>
      <c r="U41" s="89"/>
      <c r="V41" s="88"/>
      <c r="W41" s="88"/>
      <c r="X41" s="88"/>
      <c r="Y41" s="88"/>
      <c r="Z41" s="88"/>
      <c r="AA41" s="88"/>
      <c r="AB41" s="88"/>
      <c r="AC41" s="88"/>
      <c r="AD41" s="88"/>
      <c r="AE41" s="88"/>
      <c r="AF41" s="88"/>
      <c r="AG41" s="88"/>
      <c r="AH41" s="88"/>
      <c r="AI41" s="107"/>
      <c r="AJ41" s="88"/>
      <c r="AK41" s="88"/>
      <c r="AL41" s="89"/>
      <c r="AM41" s="89"/>
    </row>
    <row r="42" spans="1:39" x14ac:dyDescent="0.3">
      <c r="A42" s="69">
        <v>1</v>
      </c>
      <c r="B42" s="48" t="s">
        <v>428</v>
      </c>
      <c r="C42" s="50" t="s">
        <v>403</v>
      </c>
      <c r="D42" s="51"/>
      <c r="G42" s="62"/>
      <c r="H42" s="62"/>
      <c r="I42" s="62"/>
      <c r="J42" s="62"/>
      <c r="K42" s="62"/>
      <c r="L42" s="62"/>
      <c r="M42" s="62"/>
      <c r="N42" s="59"/>
      <c r="O42" s="59"/>
      <c r="P42" s="59"/>
      <c r="Q42" s="61"/>
      <c r="R42" s="59"/>
      <c r="S42" s="61"/>
      <c r="T42" s="61"/>
      <c r="U42" s="89"/>
      <c r="V42" s="88"/>
      <c r="W42" s="88"/>
      <c r="X42" s="88"/>
      <c r="Y42" s="88"/>
      <c r="Z42" s="88"/>
      <c r="AA42" s="88"/>
      <c r="AB42" s="88"/>
      <c r="AC42" s="88"/>
      <c r="AD42" s="88"/>
      <c r="AE42" s="88"/>
      <c r="AF42" s="88"/>
      <c r="AG42" s="88"/>
      <c r="AH42" s="88"/>
      <c r="AI42" s="88"/>
      <c r="AJ42" s="107"/>
      <c r="AK42" s="88"/>
      <c r="AL42" s="89"/>
      <c r="AM42" s="89"/>
    </row>
    <row r="43" spans="1:39" x14ac:dyDescent="0.3">
      <c r="A43" s="69">
        <v>2</v>
      </c>
      <c r="B43" s="48" t="s">
        <v>343</v>
      </c>
      <c r="C43" s="50">
        <v>22.4</v>
      </c>
      <c r="D43" s="51" t="s">
        <v>340</v>
      </c>
      <c r="G43" s="62"/>
      <c r="H43" s="62"/>
      <c r="I43" s="62"/>
      <c r="J43" s="62"/>
      <c r="K43" s="62"/>
      <c r="L43" s="62"/>
      <c r="M43" s="62"/>
      <c r="N43" s="59"/>
      <c r="O43" s="60"/>
      <c r="P43" s="59"/>
      <c r="Q43" s="61"/>
      <c r="R43" s="60"/>
      <c r="S43" s="61"/>
      <c r="T43" s="61"/>
      <c r="U43" s="89"/>
      <c r="V43" s="88"/>
      <c r="W43" s="88"/>
      <c r="X43" s="88"/>
      <c r="Y43" s="88"/>
      <c r="Z43" s="88"/>
      <c r="AA43" s="88"/>
      <c r="AB43" s="88"/>
      <c r="AC43" s="88"/>
      <c r="AD43" s="88"/>
      <c r="AE43" s="88"/>
      <c r="AF43" s="88"/>
      <c r="AG43" s="88"/>
      <c r="AH43" s="107"/>
      <c r="AI43" s="88"/>
      <c r="AJ43" s="88"/>
      <c r="AK43" s="88"/>
      <c r="AL43" s="89"/>
      <c r="AM43" s="89"/>
    </row>
    <row r="44" spans="1:39" x14ac:dyDescent="0.3">
      <c r="A44" s="69">
        <v>3</v>
      </c>
      <c r="B44" s="48" t="s">
        <v>344</v>
      </c>
      <c r="C44" s="50">
        <v>175</v>
      </c>
      <c r="D44" s="51" t="s">
        <v>214</v>
      </c>
      <c r="G44" s="62"/>
      <c r="H44" s="62"/>
      <c r="I44" s="62"/>
      <c r="J44" s="62"/>
      <c r="K44" s="62"/>
      <c r="L44" s="62"/>
      <c r="M44" s="62"/>
      <c r="N44" s="59"/>
      <c r="O44" s="60"/>
      <c r="P44" s="59"/>
      <c r="Q44" s="61"/>
      <c r="R44" s="60"/>
      <c r="S44" s="61"/>
      <c r="T44" s="61"/>
      <c r="U44" s="89"/>
      <c r="V44" s="88"/>
      <c r="W44" s="88"/>
      <c r="X44" s="88"/>
      <c r="Y44" s="88"/>
      <c r="Z44" s="88"/>
      <c r="AA44" s="88"/>
      <c r="AB44" s="88"/>
      <c r="AC44" s="88"/>
      <c r="AD44" s="88"/>
      <c r="AE44" s="88"/>
      <c r="AF44" s="88"/>
      <c r="AG44" s="88"/>
      <c r="AH44" s="88"/>
      <c r="AI44" s="107"/>
      <c r="AJ44" s="88"/>
      <c r="AK44" s="88"/>
      <c r="AL44" s="89"/>
      <c r="AM44" s="89"/>
    </row>
    <row r="45" spans="1:39" x14ac:dyDescent="0.3">
      <c r="A45" s="69">
        <v>4</v>
      </c>
      <c r="B45" s="48" t="s">
        <v>345</v>
      </c>
      <c r="C45" s="50">
        <v>75</v>
      </c>
      <c r="D45" s="51" t="s">
        <v>214</v>
      </c>
      <c r="G45" s="62"/>
      <c r="H45" s="62"/>
      <c r="I45" s="62"/>
      <c r="J45" s="62"/>
      <c r="K45" s="62"/>
      <c r="L45" s="62"/>
      <c r="M45" s="62"/>
      <c r="N45" s="59"/>
      <c r="O45" s="61"/>
      <c r="P45" s="59"/>
      <c r="Q45" s="61"/>
      <c r="R45" s="60"/>
      <c r="S45" s="61"/>
      <c r="T45" s="61"/>
      <c r="U45" s="89"/>
      <c r="V45" s="88"/>
      <c r="W45" s="88"/>
      <c r="X45" s="88"/>
      <c r="Y45" s="88"/>
      <c r="Z45" s="88"/>
      <c r="AA45" s="88"/>
      <c r="AB45" s="88"/>
      <c r="AC45" s="88"/>
      <c r="AD45" s="88"/>
      <c r="AE45" s="88"/>
      <c r="AF45" s="88"/>
      <c r="AG45" s="88"/>
      <c r="AH45" s="107"/>
      <c r="AI45" s="107"/>
      <c r="AJ45" s="88"/>
      <c r="AK45" s="88"/>
      <c r="AL45" s="89"/>
      <c r="AM45" s="89"/>
    </row>
    <row r="46" spans="1:39" x14ac:dyDescent="0.3">
      <c r="A46" s="69">
        <v>5</v>
      </c>
      <c r="B46" s="48" t="s">
        <v>346</v>
      </c>
      <c r="C46" s="50">
        <v>9.5</v>
      </c>
      <c r="D46" s="51" t="s">
        <v>214</v>
      </c>
      <c r="G46" s="62"/>
      <c r="H46" s="62"/>
      <c r="I46" s="62"/>
      <c r="J46" s="62"/>
      <c r="K46" s="62"/>
      <c r="L46" s="62"/>
      <c r="M46" s="62"/>
      <c r="N46" s="59"/>
      <c r="O46" s="59"/>
      <c r="P46" s="59"/>
      <c r="Q46" s="61"/>
      <c r="R46" s="60"/>
      <c r="S46" s="61"/>
      <c r="T46" s="60"/>
      <c r="V46" s="55"/>
      <c r="W46" s="55"/>
      <c r="X46" s="55"/>
      <c r="Y46" s="55"/>
      <c r="Z46" s="55"/>
      <c r="AA46" s="55"/>
      <c r="AB46" s="55"/>
      <c r="AC46" s="55"/>
      <c r="AD46" s="55"/>
      <c r="AE46" s="55"/>
      <c r="AF46" s="55"/>
      <c r="AG46" s="25"/>
      <c r="AH46" s="76"/>
      <c r="AI46" s="76"/>
      <c r="AJ46" s="76"/>
      <c r="AK46" s="76"/>
    </row>
    <row r="47" spans="1:39" x14ac:dyDescent="0.3">
      <c r="A47" s="69">
        <v>6</v>
      </c>
      <c r="B47" s="48" t="s">
        <v>347</v>
      </c>
      <c r="C47" s="50">
        <v>5.0999999999999996</v>
      </c>
      <c r="D47" s="51" t="s">
        <v>214</v>
      </c>
      <c r="G47" s="62"/>
      <c r="H47" s="62"/>
      <c r="I47" s="62"/>
      <c r="J47" s="62"/>
      <c r="K47" s="62"/>
      <c r="L47" s="62"/>
      <c r="M47" s="62"/>
      <c r="N47" s="59"/>
      <c r="O47" s="61"/>
      <c r="P47" s="59"/>
      <c r="Q47" s="61"/>
      <c r="R47" s="61"/>
      <c r="S47" s="61"/>
      <c r="T47" s="60"/>
      <c r="V47" s="55"/>
      <c r="W47" s="55"/>
      <c r="X47" s="55"/>
      <c r="Y47" s="55"/>
      <c r="Z47" s="55"/>
      <c r="AA47" s="55"/>
      <c r="AB47" s="55"/>
      <c r="AC47" s="55"/>
      <c r="AD47" s="55"/>
      <c r="AE47" s="55"/>
      <c r="AF47" s="55"/>
      <c r="AG47" s="25"/>
      <c r="AH47" s="25"/>
      <c r="AI47" s="76"/>
      <c r="AJ47" s="80"/>
      <c r="AK47" s="76"/>
    </row>
    <row r="48" spans="1:39" x14ac:dyDescent="0.3">
      <c r="A48" s="69">
        <v>7</v>
      </c>
      <c r="B48" s="48" t="s">
        <v>338</v>
      </c>
      <c r="C48" s="50">
        <v>7.16</v>
      </c>
      <c r="D48" s="51" t="s">
        <v>341</v>
      </c>
      <c r="G48" s="62"/>
      <c r="H48" s="62"/>
      <c r="I48" s="62"/>
      <c r="J48" s="62"/>
      <c r="K48" s="62"/>
      <c r="L48" s="62"/>
      <c r="M48" s="62"/>
      <c r="N48" s="59"/>
      <c r="O48" s="61"/>
      <c r="P48" s="59"/>
      <c r="Q48" s="61"/>
      <c r="R48" s="61"/>
      <c r="S48" s="61"/>
      <c r="T48" s="61"/>
      <c r="V48" s="55"/>
      <c r="W48" s="55"/>
      <c r="X48" s="55"/>
      <c r="Y48" s="55"/>
      <c r="Z48" s="55"/>
      <c r="AA48" s="55"/>
      <c r="AB48" s="55"/>
      <c r="AC48" s="55"/>
      <c r="AD48" s="55"/>
      <c r="AE48" s="55"/>
      <c r="AF48" s="55"/>
      <c r="AG48" s="25"/>
      <c r="AH48" s="25"/>
      <c r="AI48" s="76"/>
      <c r="AJ48" s="76"/>
      <c r="AK48" s="25"/>
    </row>
    <row r="49" spans="1:37" x14ac:dyDescent="0.3">
      <c r="A49" s="69">
        <v>8</v>
      </c>
      <c r="B49" s="48" t="s">
        <v>339</v>
      </c>
      <c r="C49" s="50">
        <v>2.38</v>
      </c>
      <c r="D49" s="51" t="s">
        <v>341</v>
      </c>
      <c r="G49" s="62"/>
      <c r="H49" s="62"/>
      <c r="I49" s="62"/>
      <c r="J49" s="62"/>
      <c r="K49" s="62"/>
      <c r="L49" s="62"/>
      <c r="M49" s="62"/>
      <c r="N49" s="59"/>
      <c r="O49" s="61"/>
      <c r="P49" s="59"/>
      <c r="Q49" s="61"/>
      <c r="R49" s="61"/>
      <c r="S49" s="61"/>
      <c r="T49" s="60"/>
      <c r="V49" s="55"/>
      <c r="W49" s="55"/>
      <c r="X49" s="55"/>
      <c r="Y49" s="55"/>
      <c r="Z49" s="55"/>
      <c r="AA49" s="55"/>
      <c r="AB49" s="55"/>
      <c r="AC49" s="55"/>
      <c r="AD49" s="55"/>
      <c r="AE49" s="55"/>
      <c r="AF49" s="55"/>
      <c r="AG49" s="76"/>
      <c r="AH49" s="76"/>
      <c r="AI49" s="78"/>
      <c r="AJ49" s="76"/>
      <c r="AK49" s="76"/>
    </row>
    <row r="50" spans="1:37" x14ac:dyDescent="0.3">
      <c r="A50" s="69">
        <v>9</v>
      </c>
      <c r="B50" s="48" t="s">
        <v>348</v>
      </c>
      <c r="C50" s="50">
        <v>131.30000000000001</v>
      </c>
      <c r="D50" s="51" t="s">
        <v>220</v>
      </c>
      <c r="G50" s="62"/>
      <c r="H50" s="62"/>
      <c r="I50" s="62"/>
      <c r="J50" s="62"/>
      <c r="K50" s="62"/>
      <c r="L50" s="62"/>
      <c r="M50" s="62"/>
      <c r="N50" s="59"/>
      <c r="O50" s="61"/>
      <c r="P50" s="59"/>
      <c r="Q50" s="61"/>
      <c r="R50" s="44"/>
      <c r="S50" s="61"/>
      <c r="T50" s="61"/>
      <c r="V50" s="55"/>
      <c r="W50" s="55"/>
      <c r="X50" s="55"/>
      <c r="Y50" s="55"/>
      <c r="Z50" s="55"/>
      <c r="AA50" s="55"/>
      <c r="AB50" s="55"/>
      <c r="AC50" s="55"/>
      <c r="AD50" s="55"/>
      <c r="AE50" s="55"/>
      <c r="AF50" s="55"/>
      <c r="AG50" s="78"/>
      <c r="AH50" s="78"/>
      <c r="AI50" s="76"/>
      <c r="AJ50" s="76"/>
      <c r="AK50" s="76"/>
    </row>
    <row r="51" spans="1:37" x14ac:dyDescent="0.3">
      <c r="A51" s="69">
        <v>10</v>
      </c>
      <c r="B51" s="48" t="s">
        <v>360</v>
      </c>
      <c r="C51" s="50">
        <v>150.36000000000001</v>
      </c>
      <c r="D51" s="51" t="s">
        <v>220</v>
      </c>
      <c r="G51" s="62"/>
      <c r="H51" s="62"/>
      <c r="I51" s="62"/>
      <c r="J51" s="62"/>
      <c r="K51" s="62"/>
      <c r="L51" s="62"/>
      <c r="M51" s="62"/>
      <c r="N51" s="59"/>
      <c r="O51" s="61"/>
      <c r="P51" s="59"/>
      <c r="Q51" s="61"/>
      <c r="R51" s="44"/>
      <c r="S51" s="61"/>
      <c r="T51" s="61"/>
      <c r="V51" s="55"/>
      <c r="W51" s="55"/>
      <c r="X51" s="55"/>
      <c r="Y51" s="55"/>
      <c r="Z51" s="55"/>
      <c r="AA51" s="55"/>
      <c r="AB51" s="55"/>
      <c r="AC51" s="55"/>
      <c r="AD51" s="55"/>
      <c r="AE51" s="55"/>
      <c r="AF51" s="55"/>
      <c r="AG51" s="77"/>
      <c r="AH51" s="76"/>
      <c r="AI51" s="77"/>
      <c r="AJ51" s="77"/>
      <c r="AK51" s="76"/>
    </row>
    <row r="52" spans="1:37" x14ac:dyDescent="0.3">
      <c r="A52" s="69">
        <v>11</v>
      </c>
      <c r="B52" s="48" t="s">
        <v>351</v>
      </c>
      <c r="C52" s="50">
        <v>8</v>
      </c>
      <c r="D52" s="51" t="s">
        <v>214</v>
      </c>
      <c r="G52" s="62"/>
      <c r="H52" s="62"/>
      <c r="I52" s="62"/>
      <c r="J52" s="62"/>
      <c r="K52" s="62"/>
      <c r="L52" s="62"/>
      <c r="M52" s="62"/>
      <c r="N52" s="59"/>
      <c r="O52" s="61"/>
      <c r="P52" s="59"/>
      <c r="Q52" s="61"/>
      <c r="R52" s="61"/>
      <c r="S52" s="60"/>
      <c r="T52" s="60"/>
      <c r="V52" s="55"/>
      <c r="W52" s="55"/>
      <c r="X52" s="55"/>
      <c r="Y52" s="55"/>
      <c r="Z52" s="55"/>
      <c r="AA52" s="55"/>
      <c r="AB52" s="55"/>
      <c r="AC52" s="55"/>
      <c r="AD52" s="55"/>
      <c r="AE52" s="55"/>
      <c r="AF52" s="55"/>
      <c r="AG52" s="25"/>
      <c r="AH52" s="76"/>
      <c r="AI52" s="76"/>
      <c r="AJ52" s="76"/>
      <c r="AK52" s="25"/>
    </row>
    <row r="53" spans="1:37" x14ac:dyDescent="0.3">
      <c r="A53" s="69">
        <v>12</v>
      </c>
      <c r="B53" s="48" t="s">
        <v>356</v>
      </c>
      <c r="C53" s="50">
        <v>131.30000000000001</v>
      </c>
      <c r="D53" s="51" t="s">
        <v>220</v>
      </c>
      <c r="G53" s="62"/>
      <c r="H53" s="62"/>
      <c r="I53" s="62"/>
      <c r="J53" s="62"/>
      <c r="K53" s="62"/>
      <c r="L53" s="62"/>
      <c r="M53" s="62"/>
      <c r="N53" s="59"/>
      <c r="O53" s="61"/>
      <c r="P53" s="59"/>
      <c r="Q53" s="61"/>
      <c r="R53" s="61"/>
      <c r="S53" s="60"/>
      <c r="T53" s="60"/>
      <c r="V53" s="55"/>
      <c r="W53" s="55"/>
      <c r="X53" s="55"/>
      <c r="Y53" s="55"/>
      <c r="Z53" s="55"/>
      <c r="AA53" s="55"/>
      <c r="AB53" s="55"/>
      <c r="AC53" s="55"/>
      <c r="AD53" s="55"/>
      <c r="AE53" s="55"/>
      <c r="AF53" s="55"/>
      <c r="AG53" s="25"/>
      <c r="AH53" s="76"/>
      <c r="AI53" s="76"/>
      <c r="AJ53" s="76"/>
      <c r="AK53" s="25"/>
    </row>
    <row r="54" spans="1:37" x14ac:dyDescent="0.3">
      <c r="A54" s="69">
        <v>13</v>
      </c>
      <c r="B54" s="56" t="s">
        <v>357</v>
      </c>
      <c r="C54" s="50">
        <v>24.8</v>
      </c>
      <c r="D54" s="51" t="s">
        <v>220</v>
      </c>
      <c r="G54" s="62"/>
      <c r="H54" s="62"/>
      <c r="I54" s="62"/>
      <c r="J54" s="62"/>
      <c r="K54" s="62"/>
      <c r="L54" s="62"/>
      <c r="M54" s="62"/>
      <c r="N54" s="59"/>
      <c r="O54" s="61"/>
      <c r="P54" s="59"/>
      <c r="Q54" s="61"/>
      <c r="R54" s="61"/>
      <c r="S54" s="60"/>
      <c r="T54" s="60"/>
      <c r="V54" s="55"/>
      <c r="W54" s="55"/>
      <c r="X54" s="55"/>
      <c r="Y54" s="55"/>
      <c r="Z54" s="55"/>
      <c r="AA54" s="55"/>
      <c r="AB54" s="55"/>
      <c r="AC54" s="55"/>
      <c r="AD54" s="55"/>
      <c r="AE54" s="55"/>
      <c r="AF54" s="55"/>
      <c r="AG54" s="25"/>
      <c r="AH54" s="76"/>
      <c r="AI54" s="76"/>
      <c r="AJ54" s="76"/>
      <c r="AK54" s="76"/>
    </row>
    <row r="55" spans="1:37" x14ac:dyDescent="0.3">
      <c r="A55" s="58"/>
      <c r="D55" s="51"/>
      <c r="G55" s="62"/>
      <c r="H55" s="62"/>
      <c r="I55" s="62"/>
      <c r="J55" s="62"/>
      <c r="K55" s="62"/>
      <c r="L55" s="62"/>
      <c r="M55" s="62"/>
      <c r="N55" s="59"/>
      <c r="O55" s="61"/>
      <c r="P55" s="59"/>
      <c r="Q55" s="61"/>
      <c r="R55" s="61"/>
      <c r="S55" s="60"/>
      <c r="T55" s="60"/>
      <c r="V55" s="55"/>
      <c r="W55" s="55"/>
      <c r="X55" s="55"/>
      <c r="Y55" s="55"/>
      <c r="Z55" s="55"/>
      <c r="AA55" s="55"/>
      <c r="AB55" s="55"/>
      <c r="AC55" s="55"/>
      <c r="AD55" s="55"/>
      <c r="AE55" s="55"/>
      <c r="AF55" s="55"/>
      <c r="AG55" s="25"/>
      <c r="AH55" s="76"/>
      <c r="AI55" s="76"/>
      <c r="AJ55" s="76"/>
      <c r="AK55" s="76"/>
    </row>
    <row r="56" spans="1:37" ht="15.6" x14ac:dyDescent="0.3">
      <c r="A56" s="58"/>
      <c r="B56" s="49" t="s">
        <v>342</v>
      </c>
      <c r="D56" s="51"/>
      <c r="G56" s="62"/>
      <c r="H56" s="62"/>
      <c r="I56" s="62"/>
      <c r="J56" s="62"/>
      <c r="K56" s="62"/>
      <c r="L56" s="62"/>
      <c r="M56" s="62"/>
      <c r="N56" s="59"/>
      <c r="O56" s="61"/>
      <c r="P56" s="59"/>
      <c r="Q56" s="60"/>
      <c r="R56" s="61"/>
      <c r="S56" s="60"/>
      <c r="T56" s="61"/>
      <c r="V56" s="55"/>
      <c r="W56" s="55"/>
      <c r="X56" s="55"/>
      <c r="Y56" s="55"/>
      <c r="Z56" s="55"/>
      <c r="AA56" s="55"/>
      <c r="AB56" s="55"/>
      <c r="AC56" s="55"/>
      <c r="AD56" s="55"/>
      <c r="AE56" s="55"/>
      <c r="AF56" s="55"/>
      <c r="AG56" s="76"/>
      <c r="AH56" s="76"/>
      <c r="AI56" s="78"/>
      <c r="AJ56" s="76"/>
      <c r="AK56" s="76"/>
    </row>
    <row r="57" spans="1:37" ht="15.6" x14ac:dyDescent="0.3">
      <c r="A57" s="58"/>
      <c r="B57" s="49"/>
      <c r="D57" s="51"/>
      <c r="G57" s="62"/>
      <c r="H57" s="62"/>
      <c r="I57" s="62"/>
      <c r="J57" s="62"/>
      <c r="K57" s="62"/>
      <c r="L57" s="62"/>
      <c r="M57" s="62"/>
      <c r="N57" s="59"/>
      <c r="O57" s="61"/>
      <c r="P57" s="59"/>
      <c r="Q57" s="60"/>
      <c r="R57" s="61"/>
      <c r="S57" s="60"/>
      <c r="T57" s="61"/>
      <c r="V57" s="55"/>
      <c r="W57" s="55"/>
      <c r="X57" s="55"/>
      <c r="Y57" s="55"/>
      <c r="Z57" s="55"/>
      <c r="AA57" s="55"/>
      <c r="AB57" s="55"/>
      <c r="AC57" s="55"/>
      <c r="AD57" s="55"/>
      <c r="AE57" s="55"/>
      <c r="AF57" s="55"/>
      <c r="AG57" s="25"/>
      <c r="AH57" s="25"/>
      <c r="AI57" s="76"/>
      <c r="AJ57" s="76"/>
      <c r="AK57" s="76"/>
    </row>
    <row r="58" spans="1:37" x14ac:dyDescent="0.3">
      <c r="A58" s="58"/>
      <c r="B58" s="47" t="s">
        <v>420</v>
      </c>
      <c r="C58" s="50">
        <f>(2*(C45-C47)*C46-(C44*C47))/(4*C46)</f>
        <v>11.463157894736849</v>
      </c>
      <c r="D58" s="51" t="s">
        <v>214</v>
      </c>
      <c r="G58" s="62"/>
      <c r="H58" s="62"/>
      <c r="I58" s="62"/>
      <c r="J58" s="62"/>
      <c r="K58" s="62"/>
      <c r="L58" s="62"/>
      <c r="M58" s="62"/>
      <c r="N58" s="63"/>
      <c r="O58" s="64"/>
      <c r="P58" s="64"/>
      <c r="Q58" s="67"/>
      <c r="R58" s="67"/>
      <c r="S58" s="67"/>
      <c r="T58" s="64"/>
      <c r="V58" s="55"/>
      <c r="W58" s="55"/>
      <c r="X58" s="55"/>
      <c r="Y58" s="55"/>
      <c r="Z58" s="55"/>
      <c r="AA58" s="55"/>
      <c r="AB58" s="55"/>
      <c r="AC58" s="55"/>
      <c r="AD58" s="55"/>
      <c r="AE58" s="55"/>
      <c r="AF58" s="55"/>
      <c r="AG58" s="25"/>
      <c r="AH58" s="76"/>
      <c r="AI58" s="76"/>
      <c r="AJ58" s="79"/>
      <c r="AK58" s="76"/>
    </row>
    <row r="59" spans="1:37" x14ac:dyDescent="0.3">
      <c r="A59" s="84" t="s">
        <v>209</v>
      </c>
      <c r="B59" s="47" t="s">
        <v>421</v>
      </c>
      <c r="C59" s="53" t="s">
        <v>432</v>
      </c>
      <c r="D59" s="51"/>
      <c r="G59" s="62"/>
      <c r="H59" s="62"/>
      <c r="I59" s="62"/>
      <c r="J59" s="62"/>
      <c r="K59" s="62"/>
      <c r="L59" s="62"/>
      <c r="M59" s="62"/>
      <c r="N59" s="63"/>
      <c r="O59" s="64"/>
      <c r="P59" s="64"/>
      <c r="Q59" s="67"/>
      <c r="R59" s="67"/>
      <c r="S59" s="67"/>
      <c r="T59" s="64"/>
      <c r="V59" s="55"/>
      <c r="W59" s="55"/>
      <c r="X59" s="55"/>
      <c r="Y59" s="55"/>
      <c r="Z59" s="55"/>
      <c r="AA59" s="55"/>
      <c r="AB59" s="55"/>
      <c r="AC59" s="55"/>
      <c r="AD59" s="55"/>
      <c r="AE59" s="55"/>
      <c r="AF59" s="55"/>
      <c r="AG59" s="76"/>
      <c r="AH59" s="76"/>
      <c r="AI59" s="78"/>
      <c r="AJ59" s="76"/>
      <c r="AK59" s="76"/>
    </row>
    <row r="60" spans="1:37" x14ac:dyDescent="0.3">
      <c r="A60" s="69">
        <v>1</v>
      </c>
      <c r="B60" s="47" t="s">
        <v>349</v>
      </c>
      <c r="C60" s="50">
        <f>C45/2</f>
        <v>37.5</v>
      </c>
      <c r="D60" s="51" t="s">
        <v>214</v>
      </c>
      <c r="G60" s="62"/>
      <c r="H60" s="62"/>
      <c r="I60" s="62"/>
      <c r="J60" s="62"/>
      <c r="K60" s="62"/>
      <c r="L60" s="62"/>
      <c r="M60" s="62"/>
      <c r="N60" s="63"/>
      <c r="O60" s="64"/>
      <c r="P60" s="64"/>
      <c r="Q60" s="67"/>
      <c r="R60" s="67"/>
      <c r="S60" s="67"/>
      <c r="T60" s="64"/>
      <c r="V60" s="55"/>
      <c r="W60" s="55"/>
      <c r="X60" s="55"/>
      <c r="Y60" s="55"/>
      <c r="Z60" s="55"/>
      <c r="AA60" s="55"/>
      <c r="AB60" s="55"/>
      <c r="AC60" s="55"/>
      <c r="AD60" s="55"/>
      <c r="AE60" s="55"/>
      <c r="AF60" s="55"/>
      <c r="AG60" s="25"/>
      <c r="AH60" s="76"/>
      <c r="AI60" s="76"/>
      <c r="AJ60" s="76"/>
      <c r="AK60" s="76"/>
    </row>
    <row r="61" spans="1:37" x14ac:dyDescent="0.3">
      <c r="A61" s="69">
        <v>2</v>
      </c>
      <c r="B61" s="47" t="s">
        <v>350</v>
      </c>
      <c r="C61" s="50">
        <f>C44-(2*(C46+C52))</f>
        <v>140</v>
      </c>
      <c r="D61" s="51" t="s">
        <v>214</v>
      </c>
      <c r="G61" s="62"/>
      <c r="H61" s="62"/>
      <c r="I61" s="62"/>
      <c r="J61" s="62"/>
      <c r="K61" s="62"/>
      <c r="L61" s="62"/>
      <c r="M61" s="62"/>
      <c r="N61" s="63"/>
      <c r="O61" s="64"/>
      <c r="P61" s="64"/>
      <c r="Q61" s="67"/>
      <c r="R61" s="67"/>
      <c r="S61" s="67"/>
      <c r="T61" s="64"/>
      <c r="V61" s="55"/>
      <c r="W61" s="55"/>
      <c r="X61" s="55"/>
      <c r="Y61" s="55"/>
      <c r="Z61" s="55"/>
      <c r="AA61" s="55"/>
      <c r="AB61" s="55"/>
      <c r="AC61" s="55"/>
      <c r="AD61" s="55"/>
      <c r="AE61" s="55"/>
      <c r="AF61" s="25"/>
      <c r="AG61" s="76"/>
      <c r="AH61" s="76"/>
      <c r="AI61" s="76"/>
      <c r="AJ61" s="76"/>
    </row>
    <row r="62" spans="1:37" x14ac:dyDescent="0.3">
      <c r="A62" s="69">
        <v>3</v>
      </c>
      <c r="B62" s="47" t="s">
        <v>352</v>
      </c>
      <c r="C62" s="50">
        <f>C60/C46</f>
        <v>3.9473684210526314</v>
      </c>
      <c r="D62" s="51"/>
      <c r="G62" s="62"/>
      <c r="H62" s="62"/>
      <c r="I62" s="62"/>
      <c r="J62" s="62"/>
      <c r="K62" s="62"/>
      <c r="L62" s="62"/>
      <c r="M62" s="62"/>
      <c r="N62" s="63"/>
      <c r="O62" s="64"/>
      <c r="P62" s="64"/>
      <c r="Q62" s="67"/>
      <c r="R62" s="67"/>
      <c r="S62" s="67"/>
      <c r="T62" s="64"/>
      <c r="V62" s="55"/>
      <c r="W62" s="55"/>
      <c r="X62" s="55"/>
      <c r="Y62" s="55"/>
      <c r="Z62" s="55"/>
      <c r="AA62" s="55"/>
      <c r="AB62" s="55"/>
      <c r="AC62" s="55"/>
      <c r="AD62" s="55"/>
      <c r="AE62" s="55"/>
      <c r="AF62" s="25"/>
      <c r="AG62" s="76"/>
      <c r="AH62" s="76"/>
      <c r="AI62" s="76"/>
      <c r="AJ62" s="76"/>
    </row>
    <row r="63" spans="1:37" x14ac:dyDescent="0.3">
      <c r="A63" s="69">
        <v>4</v>
      </c>
      <c r="B63" s="47" t="s">
        <v>353</v>
      </c>
      <c r="C63" s="50">
        <f>C61/C47</f>
        <v>27.450980392156865</v>
      </c>
      <c r="D63" s="51"/>
      <c r="G63" s="62"/>
      <c r="H63" s="62"/>
      <c r="I63" s="62"/>
      <c r="J63" s="62"/>
      <c r="K63" s="62"/>
      <c r="L63" s="62"/>
      <c r="M63" s="62"/>
      <c r="N63" s="63"/>
      <c r="O63" s="64"/>
      <c r="P63" s="66"/>
      <c r="Q63" s="67"/>
      <c r="R63" s="67"/>
      <c r="S63" s="67"/>
      <c r="T63" s="64"/>
      <c r="V63" s="55"/>
      <c r="W63" s="55"/>
      <c r="X63" s="55"/>
      <c r="Y63" s="55"/>
      <c r="Z63" s="55"/>
      <c r="AA63" s="55"/>
      <c r="AB63" s="55"/>
      <c r="AC63" s="55"/>
      <c r="AD63" s="55"/>
      <c r="AE63" s="55"/>
      <c r="AF63" s="25"/>
      <c r="AG63" s="76"/>
      <c r="AH63" s="76"/>
      <c r="AI63" s="76"/>
      <c r="AJ63" s="76"/>
    </row>
    <row r="64" spans="1:37" x14ac:dyDescent="0.3">
      <c r="A64" s="58"/>
      <c r="B64" s="47" t="s">
        <v>354</v>
      </c>
      <c r="C64" s="53" t="str">
        <f>IF(AND(C62&lt;9.4,C63&lt;84),"Plastic",IF(AND(C62&lt;10.5,C63&lt;105),"ComPact","Semi-compact"))</f>
        <v>Plastic</v>
      </c>
      <c r="D64" s="51"/>
      <c r="G64" s="62"/>
      <c r="H64" s="62"/>
      <c r="I64" s="62"/>
      <c r="J64" s="62"/>
      <c r="K64" s="62"/>
      <c r="L64" s="62"/>
      <c r="M64" s="62"/>
      <c r="N64" s="63"/>
      <c r="O64" s="64"/>
      <c r="P64" s="64"/>
      <c r="Q64" s="68"/>
      <c r="R64" s="68"/>
      <c r="S64" s="68"/>
      <c r="T64" s="64"/>
      <c r="U64" s="62"/>
      <c r="V64" s="55"/>
      <c r="W64" s="55"/>
      <c r="X64" s="55"/>
      <c r="Y64" s="55"/>
      <c r="Z64" s="55"/>
      <c r="AA64" s="55"/>
      <c r="AB64" s="55"/>
      <c r="AC64" s="55"/>
      <c r="AD64" s="55"/>
      <c r="AE64" s="55"/>
      <c r="AF64" s="25"/>
      <c r="AG64" s="76"/>
      <c r="AH64" s="76"/>
      <c r="AI64" s="76"/>
      <c r="AJ64" s="76"/>
    </row>
    <row r="65" spans="1:37" x14ac:dyDescent="0.3">
      <c r="A65" s="58"/>
      <c r="C65" s="51"/>
      <c r="F65" s="62"/>
      <c r="G65" s="62"/>
      <c r="H65" s="62"/>
      <c r="I65" s="62"/>
      <c r="J65" s="62"/>
      <c r="K65" s="62"/>
      <c r="L65" s="62"/>
      <c r="M65" s="63"/>
      <c r="N65" s="64"/>
      <c r="O65" s="64"/>
      <c r="P65" s="68"/>
      <c r="Q65" s="68"/>
      <c r="R65" s="68"/>
      <c r="S65" s="64"/>
      <c r="T65" s="62"/>
      <c r="U65" s="55"/>
      <c r="V65" s="55"/>
      <c r="W65" s="55"/>
      <c r="X65" s="55"/>
      <c r="Y65" s="55"/>
      <c r="Z65" s="55"/>
      <c r="AA65" s="55"/>
      <c r="AB65" s="55"/>
      <c r="AC65" s="55"/>
      <c r="AD65" s="55"/>
      <c r="AE65" s="55"/>
      <c r="AF65" s="25"/>
      <c r="AG65" s="76"/>
      <c r="AH65" s="76"/>
      <c r="AI65" s="76"/>
      <c r="AJ65" s="76"/>
    </row>
    <row r="66" spans="1:37" ht="15.6" x14ac:dyDescent="0.3">
      <c r="A66" s="58"/>
      <c r="B66" s="54" t="s">
        <v>419</v>
      </c>
      <c r="C66" s="51"/>
      <c r="F66" s="62"/>
      <c r="G66" s="62"/>
      <c r="H66" s="62"/>
      <c r="I66" s="62"/>
      <c r="J66" s="62"/>
      <c r="K66" s="62"/>
      <c r="L66" s="62"/>
      <c r="M66" s="63"/>
      <c r="N66" s="64"/>
      <c r="O66" s="64"/>
      <c r="P66" s="68"/>
      <c r="Q66" s="68"/>
      <c r="R66" s="68"/>
      <c r="S66" s="64"/>
      <c r="T66" s="62"/>
      <c r="U66" s="55"/>
      <c r="V66" s="55"/>
      <c r="W66" s="55"/>
      <c r="X66" s="55"/>
      <c r="Y66" s="55"/>
      <c r="Z66" s="55"/>
      <c r="AA66" s="55"/>
      <c r="AB66" s="55"/>
      <c r="AC66" s="55"/>
      <c r="AD66" s="55"/>
      <c r="AE66" s="55"/>
      <c r="AF66" s="25"/>
      <c r="AG66" s="76"/>
      <c r="AH66" s="76"/>
      <c r="AI66" s="76"/>
      <c r="AJ66" s="76"/>
    </row>
    <row r="67" spans="1:37" x14ac:dyDescent="0.3">
      <c r="A67" s="58"/>
      <c r="B67" s="82"/>
      <c r="C67" s="82"/>
      <c r="D67" s="82"/>
      <c r="E67" s="82"/>
      <c r="F67" s="83"/>
      <c r="G67" s="83"/>
      <c r="H67" s="83"/>
      <c r="I67" s="83"/>
      <c r="J67" s="83"/>
      <c r="K67" s="83"/>
      <c r="L67" s="62"/>
      <c r="M67" s="63"/>
      <c r="N67" s="64"/>
      <c r="O67" s="64"/>
      <c r="P67" s="68"/>
      <c r="Q67" s="68"/>
      <c r="R67" s="68"/>
      <c r="S67" s="64"/>
      <c r="T67" s="62"/>
      <c r="U67" s="55"/>
      <c r="V67" s="55"/>
      <c r="W67" s="55"/>
      <c r="X67" s="55"/>
      <c r="Y67" s="55"/>
      <c r="Z67" s="55"/>
      <c r="AA67" s="55"/>
      <c r="AB67" s="55"/>
      <c r="AC67" s="55"/>
      <c r="AD67" s="55"/>
      <c r="AE67" s="55"/>
      <c r="AF67" s="25"/>
      <c r="AG67" s="76"/>
      <c r="AH67" s="76"/>
      <c r="AI67" s="76"/>
      <c r="AJ67" s="76"/>
    </row>
    <row r="68" spans="1:37" x14ac:dyDescent="0.3">
      <c r="A68" s="69">
        <v>1</v>
      </c>
      <c r="B68" s="82" t="s">
        <v>424</v>
      </c>
      <c r="C68" s="50">
        <f>IF(C59="hot rolled",C47*h,C44*C47)</f>
        <v>892.49999999999989</v>
      </c>
      <c r="D68" s="86" t="s">
        <v>434</v>
      </c>
      <c r="E68" s="82"/>
      <c r="F68" s="83"/>
      <c r="G68" s="83"/>
      <c r="H68" s="83"/>
      <c r="I68" s="83"/>
      <c r="J68" s="83"/>
      <c r="K68" s="83"/>
      <c r="L68" s="62"/>
      <c r="M68" s="63"/>
      <c r="N68" s="64"/>
      <c r="O68" s="64"/>
      <c r="P68" s="68"/>
      <c r="Q68" s="68"/>
      <c r="R68" s="68"/>
      <c r="S68" s="64"/>
      <c r="T68" s="62"/>
      <c r="U68" s="55"/>
      <c r="V68" s="55"/>
      <c r="W68" s="55"/>
      <c r="X68" s="55"/>
      <c r="Y68" s="55"/>
      <c r="Z68" s="55"/>
      <c r="AA68" s="55"/>
      <c r="AB68" s="55"/>
      <c r="AC68" s="55"/>
      <c r="AD68" s="55"/>
      <c r="AE68" s="55"/>
      <c r="AF68" s="25"/>
      <c r="AG68" s="76"/>
      <c r="AH68" s="76"/>
      <c r="AI68" s="76"/>
      <c r="AJ68" s="76"/>
    </row>
    <row r="69" spans="1:37" x14ac:dyDescent="0.3">
      <c r="A69" s="69">
        <v>2</v>
      </c>
      <c r="B69" s="82" t="s">
        <v>422</v>
      </c>
      <c r="C69" s="50">
        <f>(C68*C14/(1.732*1.1))/1000</f>
        <v>117.11368885156411</v>
      </c>
      <c r="D69" s="86" t="s">
        <v>431</v>
      </c>
      <c r="E69" s="82"/>
      <c r="F69" s="83"/>
      <c r="G69" s="83"/>
      <c r="H69" s="83"/>
      <c r="I69" s="83"/>
      <c r="J69" s="83"/>
      <c r="K69" s="83"/>
      <c r="L69" s="62"/>
      <c r="M69" s="63"/>
      <c r="N69" s="64"/>
      <c r="O69" s="64"/>
      <c r="P69" s="68"/>
      <c r="Q69" s="68"/>
      <c r="R69" s="68"/>
      <c r="S69" s="64"/>
      <c r="T69" s="62"/>
      <c r="U69" s="55"/>
      <c r="V69" s="55"/>
      <c r="W69" s="55"/>
      <c r="X69" s="55"/>
      <c r="Y69" s="55"/>
      <c r="Z69" s="55"/>
      <c r="AA69" s="55"/>
      <c r="AB69" s="55"/>
      <c r="AC69" s="55"/>
      <c r="AD69" s="55"/>
      <c r="AE69" s="55"/>
      <c r="AF69" s="25"/>
      <c r="AG69" s="76"/>
      <c r="AH69" s="76"/>
      <c r="AI69" s="76"/>
      <c r="AJ69" s="76"/>
    </row>
    <row r="70" spans="1:37" x14ac:dyDescent="0.3">
      <c r="A70" s="69">
        <v>3</v>
      </c>
      <c r="B70" s="82" t="s">
        <v>425</v>
      </c>
      <c r="C70" s="50">
        <f>2*C45*C46</f>
        <v>1425</v>
      </c>
      <c r="D70" s="86" t="s">
        <v>434</v>
      </c>
      <c r="E70" s="82"/>
      <c r="F70" s="83"/>
      <c r="G70" s="83"/>
      <c r="H70" s="83"/>
      <c r="I70" s="83"/>
      <c r="J70" s="83"/>
      <c r="K70" s="83"/>
      <c r="L70" s="62"/>
      <c r="M70" s="63"/>
      <c r="N70" s="64"/>
      <c r="O70" s="64"/>
      <c r="P70" s="68"/>
      <c r="Q70" s="68"/>
      <c r="R70" s="68"/>
      <c r="S70" s="64"/>
      <c r="T70" s="62"/>
      <c r="U70" s="55"/>
      <c r="V70" s="55"/>
      <c r="W70" s="55"/>
      <c r="X70" s="55"/>
      <c r="Y70" s="55"/>
      <c r="Z70" s="55"/>
      <c r="AA70" s="55"/>
      <c r="AB70" s="55"/>
      <c r="AC70" s="55"/>
      <c r="AD70" s="55"/>
      <c r="AE70" s="55"/>
      <c r="AF70" s="25"/>
      <c r="AG70" s="76"/>
      <c r="AH70" s="76"/>
      <c r="AI70" s="76"/>
      <c r="AJ70" s="76"/>
    </row>
    <row r="71" spans="1:37" x14ac:dyDescent="0.3">
      <c r="A71" s="69">
        <v>4</v>
      </c>
      <c r="B71" s="82" t="s">
        <v>423</v>
      </c>
      <c r="C71" s="50">
        <f>(C70*C14/(1.732*1.1))/1000</f>
        <v>186.98824270417799</v>
      </c>
      <c r="D71" s="86" t="s">
        <v>431</v>
      </c>
      <c r="E71" s="82"/>
      <c r="F71" s="83"/>
      <c r="G71" s="83"/>
      <c r="H71" s="83"/>
      <c r="I71" s="83"/>
      <c r="J71" s="83"/>
      <c r="K71" s="83"/>
      <c r="L71" s="62"/>
      <c r="M71" s="63"/>
      <c r="N71" s="64"/>
      <c r="O71" s="64"/>
      <c r="P71" s="68"/>
      <c r="Q71" s="68"/>
      <c r="R71" s="68"/>
      <c r="S71" s="64"/>
      <c r="T71" s="62"/>
      <c r="U71" s="55"/>
      <c r="V71" s="55"/>
      <c r="W71" s="55"/>
      <c r="X71" s="55"/>
      <c r="Y71" s="55"/>
      <c r="Z71" s="55"/>
      <c r="AA71" s="55"/>
      <c r="AB71" s="55"/>
      <c r="AC71" s="55"/>
      <c r="AD71" s="55"/>
      <c r="AE71" s="55"/>
      <c r="AF71" s="25"/>
      <c r="AG71" s="76"/>
      <c r="AH71" s="76"/>
      <c r="AI71" s="76"/>
      <c r="AJ71" s="76"/>
    </row>
    <row r="72" spans="1:37" x14ac:dyDescent="0.3">
      <c r="A72" s="69"/>
      <c r="B72" s="82"/>
      <c r="C72" s="82"/>
      <c r="D72" s="82"/>
      <c r="E72" s="82"/>
      <c r="F72" s="83"/>
      <c r="G72" s="83"/>
      <c r="H72" s="83"/>
      <c r="I72" s="83"/>
      <c r="J72" s="83"/>
      <c r="K72" s="83"/>
      <c r="L72" s="62"/>
      <c r="M72" s="63"/>
      <c r="N72" s="64"/>
      <c r="O72" s="64"/>
      <c r="P72" s="68"/>
      <c r="Q72" s="68"/>
      <c r="R72" s="68"/>
      <c r="S72" s="64"/>
      <c r="T72" s="62"/>
      <c r="U72" s="55"/>
      <c r="V72" s="55"/>
      <c r="W72" s="55"/>
      <c r="X72" s="55"/>
      <c r="Y72" s="55"/>
      <c r="Z72" s="55"/>
      <c r="AA72" s="55"/>
      <c r="AB72" s="55"/>
      <c r="AC72" s="55"/>
      <c r="AD72" s="55"/>
      <c r="AE72" s="55"/>
      <c r="AF72" s="55"/>
      <c r="AG72" s="77"/>
      <c r="AH72" s="76"/>
      <c r="AI72" s="25"/>
      <c r="AJ72" s="76"/>
      <c r="AK72" s="25"/>
    </row>
    <row r="73" spans="1:37" x14ac:dyDescent="0.3">
      <c r="A73" s="69"/>
      <c r="B73" s="82" t="s">
        <v>222</v>
      </c>
      <c r="C73" s="82"/>
      <c r="D73" s="82"/>
      <c r="E73" s="82"/>
      <c r="F73" s="83"/>
      <c r="G73" s="83"/>
      <c r="H73" s="83"/>
      <c r="I73" s="83"/>
      <c r="J73" s="83"/>
      <c r="K73" s="83"/>
      <c r="L73" s="62"/>
      <c r="M73" s="63"/>
      <c r="N73" s="64"/>
      <c r="O73" s="64"/>
      <c r="P73" s="68"/>
      <c r="Q73" s="68"/>
      <c r="R73" s="68"/>
      <c r="S73" s="64"/>
      <c r="T73" s="62"/>
      <c r="U73" s="55"/>
      <c r="V73" s="55"/>
      <c r="W73" s="55"/>
      <c r="X73" s="55"/>
      <c r="Y73" s="55"/>
      <c r="Z73" s="55"/>
      <c r="AA73" s="55"/>
      <c r="AB73" s="55"/>
      <c r="AC73" s="55"/>
      <c r="AD73" s="55"/>
      <c r="AE73" s="55"/>
      <c r="AF73" s="55"/>
      <c r="AG73" s="77"/>
      <c r="AH73" s="25"/>
      <c r="AI73" s="76"/>
      <c r="AJ73" s="25"/>
      <c r="AK73" s="76"/>
    </row>
    <row r="74" spans="1:37" x14ac:dyDescent="0.3">
      <c r="A74" s="69">
        <v>5</v>
      </c>
      <c r="B74" s="82" t="s">
        <v>426</v>
      </c>
      <c r="C74" s="53" t="str">
        <f>IF(C33&lt;0.6*C69,"OK","Section Failed")</f>
        <v>OK</v>
      </c>
      <c r="D74" s="82"/>
      <c r="E74" s="82"/>
      <c r="F74" s="83"/>
      <c r="G74" s="83"/>
      <c r="H74" s="83"/>
      <c r="I74" s="83"/>
      <c r="J74" s="83"/>
      <c r="K74" s="83"/>
      <c r="L74" s="62"/>
      <c r="M74" s="63"/>
      <c r="N74" s="64"/>
      <c r="O74" s="64"/>
      <c r="P74" s="68"/>
      <c r="Q74" s="68"/>
      <c r="R74" s="68"/>
      <c r="S74" s="64"/>
      <c r="T74" s="62"/>
      <c r="U74" s="55"/>
      <c r="V74" s="55"/>
      <c r="W74" s="55"/>
      <c r="X74" s="55"/>
      <c r="Y74" s="55"/>
      <c r="Z74" s="55"/>
      <c r="AA74" s="55"/>
      <c r="AB74" s="55"/>
      <c r="AC74" s="55"/>
      <c r="AD74" s="55"/>
      <c r="AE74" s="55"/>
      <c r="AF74" s="55"/>
      <c r="AG74" s="77"/>
      <c r="AH74" s="77"/>
      <c r="AI74" s="77"/>
      <c r="AJ74" s="76"/>
      <c r="AK74" s="76"/>
    </row>
    <row r="75" spans="1:37" x14ac:dyDescent="0.3">
      <c r="A75" s="69">
        <v>6</v>
      </c>
      <c r="B75" s="82" t="s">
        <v>427</v>
      </c>
      <c r="C75" s="53" t="str">
        <f>IF(C34&lt;0.6*C71,"OK","Section Failed")</f>
        <v>OK</v>
      </c>
      <c r="D75" s="82"/>
      <c r="E75" s="82"/>
      <c r="F75" s="83"/>
      <c r="G75" s="83"/>
      <c r="H75" s="83"/>
      <c r="I75" s="83"/>
      <c r="J75" s="83"/>
      <c r="K75" s="83"/>
      <c r="L75" s="62"/>
      <c r="M75" s="63"/>
      <c r="N75" s="64"/>
      <c r="O75" s="64"/>
      <c r="P75" s="68"/>
      <c r="Q75" s="68"/>
      <c r="R75" s="68"/>
      <c r="S75" s="64"/>
      <c r="T75" s="62"/>
      <c r="U75" s="55"/>
      <c r="V75" s="55"/>
      <c r="W75" s="55"/>
      <c r="X75" s="55"/>
      <c r="Y75" s="55"/>
      <c r="Z75" s="55"/>
      <c r="AA75" s="55"/>
      <c r="AB75" s="55"/>
      <c r="AC75" s="55"/>
      <c r="AD75" s="55"/>
      <c r="AE75" s="55"/>
      <c r="AF75" s="55"/>
      <c r="AG75" s="77"/>
      <c r="AH75" s="77"/>
      <c r="AI75" s="77"/>
      <c r="AJ75" s="76"/>
      <c r="AK75" s="76"/>
    </row>
    <row r="76" spans="1:37" x14ac:dyDescent="0.3">
      <c r="A76" s="69"/>
      <c r="B76" s="82"/>
      <c r="C76" s="82"/>
      <c r="D76" s="82"/>
      <c r="E76" s="82"/>
      <c r="F76" s="82"/>
      <c r="G76" s="83"/>
      <c r="H76" s="83"/>
      <c r="I76" s="83"/>
      <c r="J76" s="83"/>
      <c r="K76" s="83"/>
      <c r="L76" s="62"/>
      <c r="M76" s="62"/>
      <c r="N76" s="63"/>
      <c r="O76" s="64"/>
      <c r="P76" s="64"/>
      <c r="Q76" s="68"/>
      <c r="R76" s="68"/>
      <c r="S76" s="68"/>
      <c r="T76" s="64"/>
      <c r="U76" s="62"/>
      <c r="V76" s="55"/>
      <c r="W76" s="55"/>
      <c r="X76" s="55"/>
      <c r="Y76" s="55"/>
      <c r="Z76" s="55"/>
      <c r="AA76" s="55"/>
      <c r="AB76" s="55"/>
      <c r="AC76" s="55"/>
      <c r="AD76" s="55"/>
      <c r="AE76" s="55"/>
      <c r="AF76" s="55"/>
      <c r="AG76" s="76"/>
      <c r="AH76" s="76"/>
      <c r="AI76" s="76"/>
      <c r="AJ76" s="25"/>
      <c r="AK76" s="76"/>
    </row>
    <row r="77" spans="1:37" ht="15.6" x14ac:dyDescent="0.3">
      <c r="A77" s="58"/>
      <c r="B77" s="54" t="s">
        <v>355</v>
      </c>
      <c r="D77" s="51"/>
      <c r="G77" s="62"/>
      <c r="H77" s="83"/>
      <c r="I77" s="62"/>
      <c r="J77" s="62"/>
      <c r="K77" s="62"/>
      <c r="L77" s="62"/>
      <c r="M77" s="62"/>
      <c r="N77" s="63"/>
      <c r="O77" s="64"/>
      <c r="P77" s="64"/>
      <c r="Q77" s="68"/>
      <c r="R77" s="68"/>
      <c r="S77" s="68"/>
      <c r="T77" s="64"/>
      <c r="U77" s="62"/>
      <c r="V77" s="55"/>
      <c r="W77" s="55"/>
      <c r="X77" s="55"/>
      <c r="Y77" s="55"/>
      <c r="Z77" s="55"/>
      <c r="AA77" s="55"/>
      <c r="AB77" s="55"/>
      <c r="AC77" s="55"/>
      <c r="AD77" s="55"/>
      <c r="AE77" s="55"/>
      <c r="AF77" s="55"/>
      <c r="AG77" s="76"/>
      <c r="AH77" s="76"/>
      <c r="AI77" s="25"/>
      <c r="AJ77" s="25"/>
      <c r="AK77" s="79"/>
    </row>
    <row r="78" spans="1:37" x14ac:dyDescent="0.3">
      <c r="A78" s="58"/>
      <c r="D78" s="51"/>
      <c r="G78" s="62"/>
      <c r="H78" s="83"/>
      <c r="I78" s="62"/>
      <c r="J78" s="62"/>
      <c r="K78" s="62"/>
      <c r="L78" s="62"/>
      <c r="M78" s="62"/>
      <c r="N78" s="63"/>
      <c r="O78" s="64"/>
      <c r="P78" s="64"/>
      <c r="Q78" s="68"/>
      <c r="R78" s="68"/>
      <c r="S78" s="68"/>
      <c r="T78" s="64"/>
      <c r="U78" s="62"/>
      <c r="V78" s="55"/>
      <c r="W78" s="55"/>
      <c r="X78" s="55"/>
      <c r="Y78" s="55"/>
      <c r="Z78" s="55"/>
      <c r="AA78" s="55"/>
      <c r="AB78" s="55"/>
      <c r="AC78" s="55"/>
      <c r="AD78" s="55"/>
      <c r="AE78" s="55"/>
      <c r="AF78" s="55"/>
      <c r="AG78" s="76"/>
      <c r="AH78" s="76"/>
      <c r="AI78" s="76"/>
      <c r="AJ78" s="25"/>
      <c r="AK78" s="76"/>
    </row>
    <row r="79" spans="1:37" x14ac:dyDescent="0.3">
      <c r="A79" s="69">
        <v>1</v>
      </c>
      <c r="B79" s="47" t="s">
        <v>359</v>
      </c>
      <c r="C79" s="50">
        <f>C51*C14/(1.1*1000)</f>
        <v>34.172727272727272</v>
      </c>
      <c r="D79" s="51" t="s">
        <v>213</v>
      </c>
      <c r="G79" s="62"/>
      <c r="H79" s="83"/>
      <c r="I79" s="62"/>
      <c r="J79" s="62"/>
      <c r="K79" s="62"/>
      <c r="L79" s="62"/>
      <c r="M79" s="62"/>
      <c r="N79" s="63"/>
      <c r="O79" s="64"/>
      <c r="P79" s="64"/>
      <c r="Q79" s="68"/>
      <c r="R79" s="68"/>
      <c r="S79" s="68"/>
      <c r="T79" s="64"/>
      <c r="U79" s="62"/>
      <c r="V79" s="55"/>
      <c r="W79" s="55"/>
      <c r="X79" s="55"/>
      <c r="Y79" s="55"/>
      <c r="Z79" s="55"/>
      <c r="AA79" s="55"/>
      <c r="AB79" s="55"/>
      <c r="AC79" s="55"/>
      <c r="AD79" s="55"/>
      <c r="AE79" s="55"/>
      <c r="AF79" s="55"/>
      <c r="AG79" s="25"/>
      <c r="AH79" s="25"/>
      <c r="AI79" s="25"/>
      <c r="AJ79" s="25"/>
      <c r="AK79" s="25"/>
    </row>
    <row r="80" spans="1:37" x14ac:dyDescent="0.3">
      <c r="A80" s="69">
        <v>2</v>
      </c>
      <c r="B80" s="47" t="s">
        <v>361</v>
      </c>
      <c r="C80" s="50">
        <f>1.2*C53*C14/(1.1*1000)</f>
        <v>35.809090909090912</v>
      </c>
      <c r="D80" s="51" t="s">
        <v>213</v>
      </c>
      <c r="G80" s="62"/>
      <c r="H80" s="83"/>
      <c r="I80" s="62"/>
      <c r="J80" s="62"/>
      <c r="K80" s="62"/>
      <c r="L80" s="62"/>
      <c r="M80" s="62"/>
      <c r="N80" s="63"/>
      <c r="O80" s="64"/>
      <c r="P80" s="64"/>
      <c r="Q80" s="68"/>
      <c r="R80" s="68"/>
      <c r="S80" s="68"/>
      <c r="T80" s="64"/>
      <c r="U80" s="62"/>
      <c r="V80" s="55"/>
      <c r="W80" s="55"/>
      <c r="X80" s="55"/>
      <c r="Y80" s="55"/>
      <c r="Z80" s="55"/>
      <c r="AA80" s="55"/>
      <c r="AB80" s="55"/>
      <c r="AC80" s="55"/>
      <c r="AD80" s="55"/>
      <c r="AE80" s="55"/>
      <c r="AF80" s="55"/>
      <c r="AG80" s="77"/>
      <c r="AH80" s="74"/>
      <c r="AI80" s="75"/>
      <c r="AJ80" s="77"/>
      <c r="AK80" s="76"/>
    </row>
    <row r="81" spans="1:37" x14ac:dyDescent="0.3">
      <c r="A81" s="69"/>
      <c r="B81" s="52" t="s">
        <v>367</v>
      </c>
      <c r="C81" s="53" t="str">
        <f>IF(C80&gt;C79,"OK","Section failed")</f>
        <v>OK</v>
      </c>
      <c r="D81" s="51"/>
      <c r="G81" s="62"/>
      <c r="H81" s="83"/>
      <c r="I81" s="62"/>
      <c r="J81" s="62"/>
      <c r="K81" s="62"/>
      <c r="L81" s="62"/>
      <c r="M81" s="62"/>
      <c r="N81" s="63"/>
      <c r="O81" s="64"/>
      <c r="P81" s="64"/>
      <c r="Q81" s="68"/>
      <c r="R81" s="68"/>
      <c r="S81" s="68"/>
      <c r="T81" s="64"/>
      <c r="U81" s="62"/>
      <c r="V81" s="55"/>
      <c r="W81" s="55"/>
      <c r="X81" s="55"/>
      <c r="Y81" s="55"/>
      <c r="Z81" s="55"/>
      <c r="AA81" s="55"/>
      <c r="AB81" s="55"/>
      <c r="AC81" s="55"/>
      <c r="AD81" s="55"/>
      <c r="AE81" s="72"/>
      <c r="AF81" s="55"/>
      <c r="AG81" s="76"/>
      <c r="AH81" s="25"/>
      <c r="AI81" s="25"/>
      <c r="AJ81" s="76"/>
      <c r="AK81" s="79"/>
    </row>
    <row r="82" spans="1:37" x14ac:dyDescent="0.3">
      <c r="A82" s="69"/>
      <c r="D82" s="51"/>
      <c r="G82" s="62"/>
      <c r="H82" s="83"/>
      <c r="I82" s="62"/>
      <c r="J82" s="62"/>
      <c r="K82" s="62"/>
      <c r="L82" s="62"/>
      <c r="M82" s="62"/>
      <c r="N82" s="63"/>
      <c r="O82" s="64"/>
      <c r="P82" s="64"/>
      <c r="Q82" s="68"/>
      <c r="R82" s="68"/>
      <c r="S82" s="68"/>
      <c r="T82" s="64"/>
      <c r="U82" s="62"/>
      <c r="V82" s="55"/>
      <c r="W82" s="55"/>
      <c r="X82" s="55"/>
      <c r="Y82" s="55"/>
      <c r="Z82" s="55"/>
      <c r="AA82" s="55"/>
      <c r="AB82" s="55"/>
      <c r="AC82" s="55"/>
      <c r="AD82" s="55"/>
      <c r="AE82" s="55"/>
      <c r="AF82" s="55"/>
      <c r="AG82" s="76"/>
      <c r="AH82" s="76"/>
      <c r="AI82" s="76"/>
      <c r="AJ82" s="76"/>
      <c r="AK82" s="76"/>
    </row>
    <row r="83" spans="1:37" x14ac:dyDescent="0.3">
      <c r="A83" s="69">
        <v>3</v>
      </c>
      <c r="B83" s="47" t="s">
        <v>363</v>
      </c>
      <c r="C83" s="50">
        <f>(C44*C47*(C58+0.5*C47))+(2*((C45-C47)*C46)*(0.5*C45-C58))</f>
        <v>47086.273421052625</v>
      </c>
      <c r="D83" s="51" t="s">
        <v>364</v>
      </c>
      <c r="H83" s="83"/>
      <c r="I83" s="62"/>
      <c r="J83" s="62"/>
      <c r="K83" s="62"/>
      <c r="L83" s="62"/>
      <c r="M83" s="62"/>
      <c r="N83" s="59"/>
      <c r="O83" s="61"/>
      <c r="P83" s="55"/>
      <c r="Q83" s="65"/>
      <c r="R83" s="65"/>
      <c r="S83" s="65"/>
      <c r="T83" s="61"/>
      <c r="U83" s="62"/>
      <c r="V83" s="55"/>
      <c r="W83" s="55"/>
      <c r="X83" s="55"/>
      <c r="Y83" s="55"/>
      <c r="Z83" s="55"/>
      <c r="AA83" s="55"/>
      <c r="AB83" s="55"/>
      <c r="AC83" s="55"/>
      <c r="AD83" s="55"/>
      <c r="AE83" s="55"/>
      <c r="AF83" s="55"/>
      <c r="AG83" s="25"/>
      <c r="AH83" s="25"/>
      <c r="AI83" s="25"/>
      <c r="AJ83" s="25"/>
      <c r="AK83" s="25"/>
    </row>
    <row r="84" spans="1:37" x14ac:dyDescent="0.3">
      <c r="A84" s="69">
        <v>4</v>
      </c>
      <c r="B84" s="47" t="s">
        <v>362</v>
      </c>
      <c r="C84" s="50">
        <f>C83*C14/(1.1*1000000)</f>
        <v>10.701425777511961</v>
      </c>
      <c r="D84" s="57" t="s">
        <v>213</v>
      </c>
      <c r="H84" s="83"/>
      <c r="I84" s="62"/>
      <c r="J84" s="62"/>
      <c r="K84" s="62"/>
      <c r="L84" s="62"/>
      <c r="M84" s="62"/>
      <c r="N84" s="59"/>
      <c r="O84" s="61"/>
      <c r="P84" s="55"/>
      <c r="Q84" s="65"/>
      <c r="R84" s="65"/>
      <c r="S84" s="65"/>
      <c r="T84" s="61"/>
      <c r="U84" s="62"/>
      <c r="V84" s="55"/>
      <c r="W84" s="55"/>
      <c r="X84" s="55"/>
      <c r="Y84" s="55"/>
      <c r="Z84" s="55"/>
      <c r="AA84" s="55"/>
      <c r="AB84" s="55"/>
      <c r="AC84" s="55"/>
      <c r="AD84" s="55"/>
      <c r="AE84" s="55"/>
      <c r="AF84" s="55"/>
      <c r="AG84" s="76"/>
      <c r="AH84" s="25"/>
      <c r="AI84" s="76"/>
      <c r="AJ84" s="76"/>
      <c r="AK84" s="76"/>
    </row>
    <row r="85" spans="1:37" x14ac:dyDescent="0.3">
      <c r="A85" s="69">
        <v>5</v>
      </c>
      <c r="B85" s="47" t="s">
        <v>365</v>
      </c>
      <c r="C85" s="50">
        <f>1.2*C54*C14/(1.1*1000)</f>
        <v>6.7636363636363628</v>
      </c>
      <c r="D85" s="57" t="s">
        <v>213</v>
      </c>
      <c r="H85" s="83"/>
      <c r="I85" s="62"/>
      <c r="J85" s="62"/>
      <c r="K85" s="62"/>
      <c r="L85" s="62"/>
      <c r="M85" s="62"/>
      <c r="N85" s="59"/>
      <c r="O85" s="61"/>
      <c r="P85" s="55"/>
      <c r="Q85" s="65"/>
      <c r="R85" s="65"/>
      <c r="S85" s="65"/>
      <c r="T85" s="61"/>
      <c r="U85" s="62"/>
      <c r="V85" s="55"/>
      <c r="W85" s="55"/>
      <c r="X85" s="55"/>
      <c r="Y85" s="55"/>
      <c r="Z85" s="55"/>
      <c r="AA85" s="55"/>
      <c r="AB85" s="55"/>
      <c r="AC85" s="55"/>
      <c r="AD85" s="55"/>
      <c r="AE85" s="55"/>
      <c r="AF85" s="55"/>
      <c r="AG85" s="76"/>
      <c r="AH85" s="76"/>
      <c r="AI85" s="76"/>
      <c r="AJ85" s="25"/>
      <c r="AK85" s="25"/>
    </row>
    <row r="86" spans="1:37" x14ac:dyDescent="0.3">
      <c r="A86" s="69"/>
      <c r="B86" s="73" t="s">
        <v>366</v>
      </c>
      <c r="C86" s="53" t="str">
        <f>IF(C85&gt;C31,"OK","Section failed")</f>
        <v>OK</v>
      </c>
      <c r="H86" s="83"/>
      <c r="I86" s="62"/>
      <c r="J86" s="62"/>
      <c r="K86" s="62"/>
      <c r="L86" s="62"/>
      <c r="M86" s="62"/>
      <c r="N86" s="59"/>
      <c r="O86" s="61"/>
      <c r="P86" s="55"/>
      <c r="Q86" s="65"/>
      <c r="R86" s="65"/>
      <c r="S86" s="65"/>
      <c r="T86" s="61"/>
      <c r="U86" s="62"/>
      <c r="V86" s="55"/>
      <c r="W86" s="55"/>
      <c r="X86" s="55"/>
      <c r="Y86" s="55"/>
      <c r="Z86" s="55"/>
      <c r="AA86" s="55"/>
      <c r="AB86" s="55"/>
      <c r="AC86" s="55"/>
      <c r="AD86" s="55"/>
      <c r="AE86" s="55"/>
      <c r="AF86" s="55"/>
      <c r="AG86" s="25"/>
      <c r="AH86" s="25"/>
      <c r="AI86" s="25"/>
      <c r="AJ86" s="25"/>
      <c r="AK86" s="25"/>
    </row>
    <row r="87" spans="1:37" x14ac:dyDescent="0.3">
      <c r="A87" s="69"/>
      <c r="H87" s="83"/>
      <c r="I87" s="62"/>
      <c r="J87" s="62"/>
      <c r="K87" s="62"/>
      <c r="L87" s="62"/>
      <c r="M87" s="62"/>
      <c r="N87" s="59"/>
      <c r="O87" s="61"/>
      <c r="P87" s="55"/>
      <c r="Q87" s="65"/>
      <c r="R87" s="65"/>
      <c r="S87" s="65"/>
      <c r="T87" s="65"/>
      <c r="U87" s="62"/>
      <c r="V87" s="55"/>
      <c r="W87" s="55"/>
      <c r="X87" s="55"/>
      <c r="Y87" s="55"/>
      <c r="Z87" s="55"/>
      <c r="AA87" s="55"/>
      <c r="AB87" s="55"/>
      <c r="AC87" s="55"/>
      <c r="AD87" s="55"/>
      <c r="AE87" s="55"/>
      <c r="AF87" s="55"/>
      <c r="AG87" s="25"/>
      <c r="AH87" s="76"/>
      <c r="AI87" s="25"/>
      <c r="AJ87" s="76"/>
      <c r="AK87" s="76"/>
    </row>
    <row r="88" spans="1:37" x14ac:dyDescent="0.3">
      <c r="A88" s="69">
        <v>6</v>
      </c>
      <c r="B88" s="47" t="s">
        <v>369</v>
      </c>
      <c r="C88" s="50">
        <f>(C30/C79)+(C31/C84)</f>
        <v>0.61361235543202408</v>
      </c>
      <c r="H88" s="83"/>
      <c r="I88" s="62"/>
      <c r="J88" s="62"/>
      <c r="K88" s="62"/>
      <c r="L88" s="62"/>
      <c r="M88" s="62"/>
      <c r="N88" s="59"/>
      <c r="O88" s="61"/>
      <c r="P88" s="55"/>
      <c r="Q88" s="65"/>
      <c r="R88" s="65"/>
      <c r="S88" s="65"/>
      <c r="T88" s="65"/>
      <c r="U88" s="62"/>
      <c r="V88" s="55"/>
      <c r="W88" s="55"/>
      <c r="X88" s="55"/>
      <c r="Y88" s="55"/>
      <c r="Z88" s="55"/>
      <c r="AA88" s="55"/>
      <c r="AB88" s="55"/>
      <c r="AC88" s="55"/>
      <c r="AD88" s="55"/>
      <c r="AE88" s="55"/>
      <c r="AF88" s="55"/>
      <c r="AG88" s="25"/>
      <c r="AH88" s="25"/>
      <c r="AI88" s="25"/>
      <c r="AJ88" s="25"/>
      <c r="AK88" s="25"/>
    </row>
    <row r="89" spans="1:37" x14ac:dyDescent="0.3">
      <c r="A89" s="58"/>
      <c r="C89" s="53" t="str">
        <f>IF(C88&lt;=1,"OK","Section failed")</f>
        <v>OK</v>
      </c>
      <c r="H89" s="83"/>
      <c r="I89" s="62"/>
      <c r="J89" s="62"/>
      <c r="K89" s="62"/>
      <c r="L89" s="62"/>
      <c r="M89" s="62"/>
      <c r="N89" s="59"/>
      <c r="O89" s="61"/>
      <c r="P89" s="55"/>
      <c r="Q89" s="65"/>
      <c r="R89" s="65"/>
      <c r="S89" s="65"/>
      <c r="T89" s="65"/>
      <c r="U89" s="62"/>
      <c r="V89" s="55"/>
      <c r="W89" s="55"/>
      <c r="X89" s="55"/>
      <c r="Y89" s="55"/>
      <c r="Z89" s="55"/>
      <c r="AA89" s="55"/>
      <c r="AB89" s="55"/>
      <c r="AC89" s="55"/>
      <c r="AD89" s="55"/>
      <c r="AE89" s="55"/>
      <c r="AF89" s="55"/>
      <c r="AG89" s="76"/>
      <c r="AH89" s="25"/>
      <c r="AI89" s="78"/>
      <c r="AJ89" s="76"/>
      <c r="AK89" s="25"/>
    </row>
    <row r="90" spans="1:37" x14ac:dyDescent="0.3">
      <c r="A90" s="58"/>
      <c r="H90" s="83"/>
      <c r="I90" s="62"/>
      <c r="J90" s="62"/>
      <c r="K90" s="62"/>
      <c r="L90" s="62"/>
      <c r="M90" s="62"/>
      <c r="N90" s="59"/>
      <c r="O90" s="61"/>
      <c r="P90" s="55"/>
      <c r="Q90" s="65"/>
      <c r="R90" s="65"/>
      <c r="S90" s="65"/>
      <c r="T90" s="65"/>
      <c r="U90" s="62"/>
      <c r="V90" s="55"/>
      <c r="W90" s="55"/>
      <c r="X90" s="55"/>
      <c r="Y90" s="55"/>
      <c r="Z90" s="55"/>
      <c r="AA90" s="55"/>
      <c r="AB90" s="55"/>
      <c r="AC90" s="55"/>
      <c r="AD90" s="55"/>
      <c r="AE90" s="55"/>
      <c r="AF90" s="55"/>
      <c r="AG90" s="76"/>
      <c r="AH90" s="78"/>
      <c r="AI90" s="78"/>
      <c r="AJ90" s="76"/>
      <c r="AK90" s="76"/>
    </row>
    <row r="91" spans="1:37" ht="15.6" x14ac:dyDescent="0.3">
      <c r="A91" s="58"/>
      <c r="B91" s="54" t="s">
        <v>370</v>
      </c>
      <c r="H91" s="83"/>
      <c r="I91" s="62"/>
      <c r="J91" s="62"/>
      <c r="K91" s="62"/>
      <c r="L91" s="62"/>
      <c r="M91" s="62"/>
      <c r="N91" s="59"/>
      <c r="O91" s="61"/>
      <c r="P91" s="55"/>
      <c r="Q91" s="65"/>
      <c r="R91" s="65"/>
      <c r="S91" s="65"/>
      <c r="T91" s="65"/>
      <c r="U91" s="62"/>
    </row>
    <row r="92" spans="1:37" x14ac:dyDescent="0.3">
      <c r="A92" s="58"/>
      <c r="C92" s="55"/>
      <c r="H92" s="83"/>
      <c r="I92" s="62"/>
      <c r="J92" s="62"/>
      <c r="K92" s="62"/>
      <c r="L92" s="62"/>
      <c r="M92" s="62"/>
      <c r="N92" s="59"/>
      <c r="O92" s="61"/>
      <c r="P92" s="55"/>
      <c r="Q92" s="65"/>
      <c r="R92" s="65"/>
      <c r="S92" s="65"/>
      <c r="T92" s="65"/>
      <c r="U92" s="62"/>
    </row>
    <row r="93" spans="1:37" x14ac:dyDescent="0.3">
      <c r="A93" s="58">
        <v>1</v>
      </c>
      <c r="B93" s="47" t="s">
        <v>371</v>
      </c>
      <c r="C93" s="50">
        <f>C8*1000/180</f>
        <v>11.111111111111111</v>
      </c>
      <c r="D93" s="51" t="s">
        <v>214</v>
      </c>
      <c r="H93" s="83"/>
      <c r="I93" s="62"/>
      <c r="J93" s="62"/>
      <c r="K93" s="62"/>
      <c r="L93" s="62"/>
      <c r="M93" s="62"/>
      <c r="N93" s="59"/>
      <c r="O93" s="61"/>
      <c r="P93" s="55"/>
      <c r="Q93" s="65"/>
      <c r="R93" s="65"/>
      <c r="S93" s="65"/>
      <c r="T93" s="65"/>
      <c r="U93" s="62"/>
      <c r="V93" s="55"/>
      <c r="W93" s="55"/>
      <c r="X93" s="55"/>
      <c r="Y93" s="55"/>
      <c r="Z93" s="55"/>
      <c r="AA93" s="55"/>
      <c r="AB93" s="55"/>
      <c r="AC93" s="55"/>
      <c r="AD93" s="55"/>
      <c r="AE93" s="55"/>
      <c r="AF93" s="55"/>
    </row>
    <row r="94" spans="1:37" x14ac:dyDescent="0.3">
      <c r="A94" s="58">
        <v>2</v>
      </c>
      <c r="B94" s="47" t="s">
        <v>372</v>
      </c>
      <c r="C94" s="50">
        <f>(5*N102*N103*N103*N103*N103)/(384*N101*N104*10000)</f>
        <v>0.3665133981136261</v>
      </c>
      <c r="D94" s="51" t="s">
        <v>214</v>
      </c>
      <c r="H94" s="83"/>
      <c r="I94" s="62"/>
      <c r="J94" s="62"/>
      <c r="K94" s="62"/>
      <c r="L94" s="62"/>
      <c r="M94" s="62"/>
      <c r="N94" s="59"/>
      <c r="O94" s="61"/>
      <c r="P94" s="55"/>
      <c r="Q94" s="65"/>
      <c r="R94" s="65"/>
      <c r="S94" s="65"/>
      <c r="T94" s="65"/>
      <c r="U94" s="62"/>
      <c r="V94" s="55"/>
      <c r="W94" s="55"/>
      <c r="X94" s="55"/>
      <c r="Y94" s="55"/>
      <c r="Z94" s="55"/>
      <c r="AA94" s="55"/>
      <c r="AB94" s="55"/>
      <c r="AC94" s="55"/>
      <c r="AD94" s="55"/>
      <c r="AE94" s="55"/>
      <c r="AF94" s="55"/>
    </row>
    <row r="95" spans="1:37" x14ac:dyDescent="0.3">
      <c r="A95" s="58"/>
      <c r="C95" s="53" t="str">
        <f>IF(C94&lt;C93,"OK","Section failed")</f>
        <v>OK</v>
      </c>
      <c r="D95" s="51"/>
      <c r="H95" s="83"/>
      <c r="I95" s="62"/>
      <c r="J95" s="62"/>
      <c r="K95" s="62"/>
      <c r="L95" s="62"/>
      <c r="M95" s="62"/>
      <c r="N95" s="59"/>
      <c r="O95" s="61"/>
      <c r="P95" s="55"/>
      <c r="Q95" s="65"/>
      <c r="R95" s="65"/>
      <c r="S95" s="65"/>
      <c r="T95" s="65"/>
      <c r="U95" s="62"/>
      <c r="V95" s="55"/>
      <c r="W95" s="55"/>
      <c r="X95" s="55"/>
      <c r="Y95" s="55"/>
      <c r="Z95" s="55"/>
      <c r="AA95" s="55"/>
      <c r="AB95" s="55"/>
      <c r="AC95" s="55"/>
      <c r="AD95" s="55"/>
      <c r="AE95" s="55"/>
      <c r="AF95" s="55"/>
    </row>
    <row r="96" spans="1:37" x14ac:dyDescent="0.3">
      <c r="A96" s="58"/>
      <c r="C96" s="55"/>
      <c r="H96" s="62"/>
      <c r="I96" s="62"/>
      <c r="J96" s="62"/>
      <c r="K96" s="62"/>
      <c r="L96" s="62"/>
      <c r="M96" s="62"/>
      <c r="N96" s="59"/>
      <c r="O96" s="61"/>
      <c r="P96" s="55"/>
      <c r="Q96" s="65"/>
      <c r="R96" s="65"/>
      <c r="S96" s="65"/>
      <c r="T96" s="65"/>
      <c r="U96" s="62"/>
    </row>
    <row r="97" spans="1:32" x14ac:dyDescent="0.3">
      <c r="A97" s="58"/>
      <c r="H97" s="62"/>
      <c r="I97" s="62"/>
      <c r="J97" s="62"/>
      <c r="K97" s="62"/>
      <c r="L97" s="62"/>
      <c r="M97" s="62"/>
      <c r="N97" s="59"/>
      <c r="O97" s="61"/>
      <c r="P97" s="55"/>
      <c r="Q97" s="65"/>
      <c r="R97" s="65"/>
      <c r="S97" s="65"/>
      <c r="T97" s="65"/>
      <c r="U97" s="62"/>
    </row>
    <row r="98" spans="1:32" x14ac:dyDescent="0.3">
      <c r="A98" s="58"/>
      <c r="H98" s="62"/>
      <c r="I98" s="62"/>
      <c r="J98" s="62"/>
      <c r="K98" s="62"/>
      <c r="L98" s="62"/>
      <c r="M98" s="62"/>
      <c r="N98" s="59"/>
      <c r="O98" s="61"/>
      <c r="P98" s="55"/>
      <c r="Q98" s="65"/>
      <c r="R98" s="65"/>
      <c r="S98" s="65"/>
      <c r="T98" s="65"/>
      <c r="U98" s="62"/>
      <c r="V98" s="55"/>
      <c r="W98" s="55"/>
      <c r="X98" s="55"/>
      <c r="Y98" s="55"/>
      <c r="Z98" s="55"/>
      <c r="AA98" s="55"/>
      <c r="AB98" s="55"/>
      <c r="AC98" s="55"/>
      <c r="AD98" s="55"/>
      <c r="AE98" s="55"/>
      <c r="AF98" s="55"/>
    </row>
    <row r="99" spans="1:32" x14ac:dyDescent="0.3">
      <c r="A99" s="58"/>
      <c r="H99" s="62"/>
      <c r="I99" s="62"/>
      <c r="J99" s="62"/>
      <c r="K99" s="62"/>
      <c r="L99" s="62"/>
      <c r="M99" s="62"/>
      <c r="N99" s="59"/>
      <c r="O99" s="61"/>
      <c r="P99" s="55"/>
      <c r="Q99" s="65"/>
      <c r="R99" s="65"/>
      <c r="S99" s="65"/>
      <c r="T99" s="65"/>
      <c r="U99" s="62"/>
    </row>
    <row r="100" spans="1:32" x14ac:dyDescent="0.3">
      <c r="A100" s="58"/>
      <c r="H100" s="62"/>
      <c r="I100" s="62"/>
      <c r="J100" s="62"/>
      <c r="K100" s="62"/>
      <c r="L100" s="62"/>
      <c r="M100" s="98"/>
      <c r="N100" s="98"/>
      <c r="O100" s="98"/>
      <c r="P100" s="98"/>
      <c r="Q100" s="98"/>
      <c r="R100" s="62"/>
      <c r="S100" s="62"/>
      <c r="T100" s="62"/>
      <c r="U100" s="62"/>
      <c r="V100" s="55"/>
      <c r="W100" s="55"/>
      <c r="X100" s="55"/>
      <c r="Y100" s="55"/>
      <c r="Z100" s="55"/>
      <c r="AA100" s="55"/>
      <c r="AB100" s="55"/>
      <c r="AC100" s="55"/>
      <c r="AD100" s="55"/>
      <c r="AE100" s="55"/>
      <c r="AF100" s="55"/>
    </row>
    <row r="101" spans="1:32" x14ac:dyDescent="0.3">
      <c r="A101" s="58"/>
      <c r="H101" s="62"/>
      <c r="I101" s="62"/>
      <c r="J101" s="62"/>
      <c r="K101" s="62"/>
      <c r="L101" s="62"/>
      <c r="M101" s="98"/>
      <c r="N101" s="101">
        <v>1148.4000000000001</v>
      </c>
      <c r="O101" s="98"/>
      <c r="P101" s="98">
        <f>IF(C81="Section failed",0,1)</f>
        <v>1</v>
      </c>
      <c r="Q101" s="98"/>
      <c r="R101" s="62"/>
      <c r="S101" s="62"/>
      <c r="T101" s="62"/>
      <c r="U101" s="62"/>
    </row>
    <row r="102" spans="1:32" x14ac:dyDescent="0.3">
      <c r="A102" s="58"/>
      <c r="H102" s="62"/>
      <c r="I102" s="62"/>
      <c r="J102" s="62"/>
      <c r="K102" s="62"/>
      <c r="L102" s="62"/>
      <c r="M102" s="98"/>
      <c r="N102" s="98">
        <f>(C25)/1.5</f>
        <v>4.0406782693794066</v>
      </c>
      <c r="O102" s="98"/>
      <c r="P102" s="98">
        <f>IF(C86="Section failed",0,1)</f>
        <v>1</v>
      </c>
      <c r="Q102" s="98"/>
      <c r="R102" s="62"/>
      <c r="S102" s="62"/>
      <c r="T102" s="62"/>
      <c r="U102" s="62"/>
      <c r="V102" s="55"/>
      <c r="W102" s="55"/>
      <c r="X102" s="55"/>
      <c r="Y102" s="55"/>
      <c r="Z102" s="55"/>
      <c r="AA102" s="55"/>
      <c r="AB102" s="55"/>
      <c r="AC102" s="55"/>
      <c r="AD102" s="55"/>
      <c r="AE102" s="55"/>
      <c r="AF102" s="55"/>
    </row>
    <row r="103" spans="1:32" x14ac:dyDescent="0.3">
      <c r="A103" s="58"/>
      <c r="H103" s="62"/>
      <c r="I103" s="62"/>
      <c r="J103" s="62"/>
      <c r="K103" s="62"/>
      <c r="L103" s="62"/>
      <c r="M103" s="98"/>
      <c r="N103" s="98">
        <f>C8*1000</f>
        <v>2000</v>
      </c>
      <c r="O103" s="98"/>
      <c r="P103" s="98">
        <f>IF(C89="Section failed",0,1)</f>
        <v>1</v>
      </c>
      <c r="Q103" s="98"/>
      <c r="R103" s="62"/>
      <c r="S103" s="62"/>
      <c r="T103" s="62"/>
      <c r="U103" s="62"/>
    </row>
    <row r="104" spans="1:32" x14ac:dyDescent="0.3">
      <c r="A104" s="58"/>
      <c r="H104" s="62"/>
      <c r="I104" s="62"/>
      <c r="J104" s="62"/>
      <c r="K104" s="62"/>
      <c r="L104" s="62"/>
      <c r="M104" s="98"/>
      <c r="N104" s="98">
        <f>2*100000</f>
        <v>200000</v>
      </c>
      <c r="O104" s="98"/>
      <c r="P104" s="98">
        <f>IF(C95="Section failed",0,1)</f>
        <v>1</v>
      </c>
      <c r="Q104" s="98"/>
      <c r="R104" s="62"/>
      <c r="S104" s="62"/>
      <c r="T104" s="62"/>
      <c r="U104" s="62"/>
      <c r="V104" s="55"/>
      <c r="W104" s="55"/>
      <c r="X104" s="55"/>
      <c r="Y104" s="55"/>
      <c r="Z104" s="55"/>
      <c r="AA104" s="55"/>
      <c r="AB104" s="55"/>
      <c r="AC104" s="55"/>
      <c r="AD104" s="55"/>
      <c r="AE104" s="55"/>
      <c r="AF104" s="55"/>
    </row>
    <row r="105" spans="1:32" x14ac:dyDescent="0.3">
      <c r="A105" s="58"/>
      <c r="M105" s="89"/>
      <c r="N105" s="89"/>
      <c r="O105" s="89"/>
      <c r="P105" s="89"/>
      <c r="Q105" s="89"/>
    </row>
    <row r="106" spans="1:32" x14ac:dyDescent="0.3">
      <c r="A106" s="58"/>
      <c r="M106" s="89"/>
      <c r="N106" s="89"/>
      <c r="O106" s="89"/>
      <c r="P106" s="89"/>
      <c r="Q106" s="89"/>
    </row>
    <row r="107" spans="1:32" x14ac:dyDescent="0.3">
      <c r="A107" s="58"/>
      <c r="M107" s="89"/>
      <c r="N107" s="89"/>
      <c r="O107" s="89"/>
      <c r="P107" s="89"/>
      <c r="Q107" s="89"/>
      <c r="V107" s="55"/>
      <c r="W107" s="55"/>
      <c r="X107" s="55"/>
      <c r="Y107" s="55"/>
      <c r="Z107" s="55"/>
      <c r="AA107" s="55"/>
      <c r="AB107" s="55"/>
      <c r="AC107" s="55"/>
      <c r="AD107" s="55"/>
      <c r="AE107" s="55"/>
      <c r="AF107" s="55"/>
    </row>
    <row r="108" spans="1:32" x14ac:dyDescent="0.3">
      <c r="A108" s="58"/>
    </row>
    <row r="109" spans="1:32" x14ac:dyDescent="0.3">
      <c r="A109" s="58"/>
      <c r="V109" s="55"/>
      <c r="W109" s="55"/>
      <c r="X109" s="55"/>
      <c r="Y109" s="55"/>
      <c r="Z109" s="55"/>
      <c r="AA109" s="55"/>
      <c r="AB109" s="55"/>
      <c r="AC109" s="55"/>
      <c r="AD109" s="55"/>
      <c r="AE109" s="55"/>
      <c r="AF109" s="55"/>
    </row>
    <row r="110" spans="1:32" x14ac:dyDescent="0.3">
      <c r="A110" s="58"/>
      <c r="V110" s="55"/>
      <c r="W110" s="55"/>
      <c r="X110" s="55"/>
      <c r="Y110" s="55"/>
      <c r="Z110" s="55"/>
      <c r="AA110" s="55"/>
      <c r="AB110" s="55"/>
      <c r="AC110" s="55"/>
      <c r="AD110" s="55"/>
      <c r="AE110" s="55"/>
      <c r="AF110" s="55"/>
    </row>
    <row r="111" spans="1:32" x14ac:dyDescent="0.3">
      <c r="A111" s="58"/>
    </row>
    <row r="112" spans="1:32" x14ac:dyDescent="0.3">
      <c r="A112" s="58"/>
    </row>
    <row r="113" spans="1:32" x14ac:dyDescent="0.3">
      <c r="A113" s="58"/>
    </row>
    <row r="114" spans="1:32" x14ac:dyDescent="0.3">
      <c r="A114" s="58"/>
      <c r="V114" s="55"/>
      <c r="W114" s="55"/>
      <c r="X114" s="55"/>
      <c r="Y114" s="55"/>
      <c r="Z114" s="55"/>
      <c r="AA114" s="55"/>
      <c r="AB114" s="55"/>
      <c r="AC114" s="55"/>
      <c r="AD114" s="55"/>
      <c r="AE114" s="55"/>
      <c r="AF114" s="55"/>
    </row>
    <row r="115" spans="1:32" x14ac:dyDescent="0.3">
      <c r="A115" s="58"/>
      <c r="V115" s="55"/>
      <c r="W115" s="55"/>
      <c r="X115" s="55"/>
      <c r="Y115" s="55"/>
      <c r="Z115" s="55"/>
      <c r="AA115" s="55"/>
      <c r="AB115" s="55"/>
      <c r="AC115" s="55"/>
      <c r="AD115" s="55"/>
      <c r="AE115" s="55"/>
      <c r="AF115" s="55"/>
    </row>
    <row r="116" spans="1:32" x14ac:dyDescent="0.3">
      <c r="A116" s="58"/>
    </row>
    <row r="117" spans="1:32" x14ac:dyDescent="0.3">
      <c r="A117" s="58"/>
      <c r="V117" s="55"/>
      <c r="W117" s="55"/>
      <c r="X117" s="55"/>
      <c r="Y117" s="55"/>
      <c r="Z117" s="55"/>
      <c r="AA117" s="55"/>
      <c r="AB117" s="55"/>
      <c r="AC117" s="55"/>
      <c r="AD117" s="55"/>
      <c r="AE117" s="55"/>
      <c r="AF117" s="55"/>
    </row>
    <row r="118" spans="1:32" x14ac:dyDescent="0.3">
      <c r="A118" s="58"/>
      <c r="V118" s="55"/>
      <c r="W118" s="55"/>
      <c r="X118" s="55"/>
      <c r="Y118" s="55"/>
      <c r="Z118" s="55"/>
      <c r="AA118" s="55"/>
      <c r="AB118" s="55"/>
      <c r="AC118" s="55"/>
      <c r="AD118" s="55"/>
      <c r="AE118" s="55"/>
      <c r="AF118" s="55"/>
    </row>
    <row r="119" spans="1:32" x14ac:dyDescent="0.3">
      <c r="A119" s="58"/>
      <c r="V119" s="55"/>
      <c r="W119" s="55"/>
      <c r="X119" s="55"/>
      <c r="Y119" s="55"/>
      <c r="Z119" s="55"/>
      <c r="AA119" s="55"/>
      <c r="AB119" s="55"/>
      <c r="AC119" s="55"/>
      <c r="AD119" s="55"/>
      <c r="AE119" s="55"/>
      <c r="AF119" s="55"/>
    </row>
    <row r="120" spans="1:32" x14ac:dyDescent="0.3">
      <c r="A120" s="58"/>
    </row>
    <row r="121" spans="1:32" x14ac:dyDescent="0.3">
      <c r="A121" s="58"/>
    </row>
    <row r="122" spans="1:32" x14ac:dyDescent="0.3">
      <c r="A122" s="58"/>
    </row>
    <row r="123" spans="1:32" x14ac:dyDescent="0.3">
      <c r="A123" s="58"/>
    </row>
    <row r="124" spans="1:32" x14ac:dyDescent="0.3">
      <c r="A124" s="58"/>
    </row>
    <row r="125" spans="1:32" x14ac:dyDescent="0.3">
      <c r="A125" s="58"/>
    </row>
    <row r="126" spans="1:32" x14ac:dyDescent="0.3">
      <c r="A126" s="58"/>
    </row>
    <row r="127" spans="1:32" x14ac:dyDescent="0.3">
      <c r="A127" s="58"/>
    </row>
    <row r="128" spans="1:32" x14ac:dyDescent="0.3">
      <c r="A128" s="58"/>
    </row>
    <row r="129" spans="1:1" x14ac:dyDescent="0.3">
      <c r="A129" s="58"/>
    </row>
    <row r="130" spans="1:1" x14ac:dyDescent="0.3">
      <c r="A130" s="58"/>
    </row>
    <row r="131" spans="1:1" x14ac:dyDescent="0.3">
      <c r="A131" s="58"/>
    </row>
    <row r="132" spans="1:1" x14ac:dyDescent="0.3">
      <c r="A132" s="58"/>
    </row>
    <row r="133" spans="1:1" x14ac:dyDescent="0.3">
      <c r="A133" s="58"/>
    </row>
    <row r="134" spans="1:1" x14ac:dyDescent="0.3">
      <c r="A134" s="58"/>
    </row>
    <row r="135" spans="1:1" x14ac:dyDescent="0.3">
      <c r="A135" s="58"/>
    </row>
  </sheetData>
  <mergeCells count="3">
    <mergeCell ref="D2:L2"/>
    <mergeCell ref="I4:M5"/>
    <mergeCell ref="A5:A14"/>
  </mergeCells>
  <dataValidations count="2">
    <dataValidation type="list" allowBlank="1" showInputMessage="1" showErrorMessage="1" sqref="C59" xr:uid="{5D431CFF-0347-4EB2-910F-24830E7D6908}">
      <formula1>"hot rolled, welded"</formula1>
    </dataValidation>
    <dataValidation type="list" allowBlank="1" showInputMessage="1" showErrorMessage="1" sqref="C29" xr:uid="{4881DB0C-2727-4F34-935A-9A6E78FF8338}">
      <formula1>"Continous Beam, Simply supported"</formula1>
    </dataValidation>
  </dataValidation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014C41-3D2C-4E61-87EB-4F2EF68488E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Howe truss</vt:lpstr>
      <vt:lpstr>Angle section</vt:lpstr>
      <vt:lpstr>I-section</vt:lpstr>
      <vt:lpstr>Channel section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Nitisha Gupta</dc:creator>
  <cp:lastModifiedBy>Nitisha</cp:lastModifiedBy>
  <dcterms:created xsi:type="dcterms:W3CDTF">2021-10-07T06:14:21Z</dcterms:created>
  <dcterms:modified xsi:type="dcterms:W3CDTF">2022-02-08T06:14:26Z</dcterms:modified>
</cp:coreProperties>
</file>